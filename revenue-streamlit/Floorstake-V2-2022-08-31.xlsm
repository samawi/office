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db03e8e420626a2/Development/office/revenue-streamlit/"/>
    </mc:Choice>
  </mc:AlternateContent>
  <xr:revisionPtr revIDLastSave="0" documentId="8_{BFA64307-8B04-3C4A-B7A4-854C8821F463}" xr6:coauthVersionLast="47" xr6:coauthVersionMax="47" xr10:uidLastSave="{00000000-0000-0000-0000-000000000000}"/>
  <bookViews>
    <workbookView xWindow="11590" yWindow="1030" windowWidth="25910" windowHeight="18230" tabRatio="664" xr2:uid="{00000000-000D-0000-FFFF-FFFF00000000}"/>
  </bookViews>
  <sheets>
    <sheet name="OCCUPANCY" sheetId="8" r:id="rId1"/>
    <sheet name="Legend" sheetId="36" state="hidden" r:id="rId2"/>
    <sheet name="OccRate Chart" sheetId="15" r:id="rId3"/>
    <sheet name="Prospectus" sheetId="17" state="hidden" r:id="rId4"/>
    <sheet name="Office Exp" sheetId="22" state="hidden" r:id="rId5"/>
    <sheet name="OUTLOOK 2021" sheetId="28" state="hidden" r:id="rId6"/>
    <sheet name="OUTLOOK 2022" sheetId="26" state="hidden" r:id="rId7"/>
    <sheet name="OUTLOOK 2023" sheetId="32" state="hidden" r:id="rId8"/>
    <sheet name="OUTLOOK 2022 (2)" sheetId="31" state="hidden" r:id="rId9"/>
    <sheet name="OUTLOOK 2023 (2)" sheetId="34" state="hidden" r:id="rId10"/>
    <sheet name="Storage B" sheetId="35" state="hidden" r:id="rId11"/>
    <sheet name="OUTLOOK 2022 (3)" sheetId="38" r:id="rId12"/>
    <sheet name="OUTLOOK 2023 (3)" sheetId="39" r:id="rId13"/>
    <sheet name="BOMA" sheetId="10" r:id="rId14"/>
    <sheet name="Leasable" sheetId="30" r:id="rId15"/>
    <sheet name="Sheet1" sheetId="29" r:id="rId16"/>
    <sheet name="Sheet2" sheetId="37" r:id="rId17"/>
  </sheets>
  <functionGroups builtInGroupCount="19"/>
  <definedNames>
    <definedName name="_xlnm.Print_Area" localSheetId="13">BOMA!$A$2:$G$64</definedName>
    <definedName name="_xlnm.Print_Area" localSheetId="0">OCCUPANCY!$B$4:$O$93</definedName>
    <definedName name="_xlnm.Print_Area" localSheetId="5">'OUTLOOK 2021'!$A$1:$O$32</definedName>
    <definedName name="_xlnm.Print_Area" localSheetId="6">'OUTLOOK 2022'!$A$1:$O$32</definedName>
    <definedName name="_xlnm.Print_Area" localSheetId="8">'OUTLOOK 2022 (2)'!$A$1:$O$32</definedName>
    <definedName name="_xlnm.Print_Area" localSheetId="11">'OUTLOOK 2022 (3)'!$A$1:$O$32</definedName>
    <definedName name="_xlnm.Print_Area" localSheetId="7">'OUTLOOK 2023'!$A$1:$O$32</definedName>
    <definedName name="_xlnm.Print_Area" localSheetId="9">'OUTLOOK 2023 (2)'!$A$1:$O$32</definedName>
    <definedName name="_xlnm.Print_Area" localSheetId="12">'OUTLOOK 2023 (3)'!$A$1:$O$32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39" l="1"/>
  <c r="C6" i="39"/>
  <c r="B21" i="38"/>
  <c r="B20" i="38"/>
  <c r="C20" i="38" s="1"/>
  <c r="D20" i="38" s="1"/>
  <c r="E20" i="38" s="1"/>
  <c r="B19" i="38"/>
  <c r="C7" i="39"/>
  <c r="O15" i="39"/>
  <c r="C18" i="39"/>
  <c r="D18" i="39"/>
  <c r="E18" i="39"/>
  <c r="F18" i="39"/>
  <c r="G18" i="39"/>
  <c r="H18" i="39"/>
  <c r="I18" i="39"/>
  <c r="J18" i="39"/>
  <c r="K18" i="39"/>
  <c r="L18" i="39"/>
  <c r="M18" i="39"/>
  <c r="N18" i="39"/>
  <c r="O18" i="39"/>
  <c r="C20" i="39"/>
  <c r="D20" i="39" s="1"/>
  <c r="E20" i="39" s="1"/>
  <c r="O29" i="39"/>
  <c r="O15" i="38"/>
  <c r="O29" i="38"/>
  <c r="C19" i="39" l="1"/>
  <c r="C21" i="39" s="1"/>
  <c r="D19" i="39"/>
  <c r="D21" i="39" s="1"/>
  <c r="F20" i="39"/>
  <c r="G20" i="39" s="1"/>
  <c r="E19" i="39"/>
  <c r="E21" i="39" s="1"/>
  <c r="D6" i="39"/>
  <c r="F20" i="38"/>
  <c r="G20" i="38" s="1"/>
  <c r="F19" i="39" l="1"/>
  <c r="F21" i="39" s="1"/>
  <c r="D5" i="39"/>
  <c r="D7" i="39" s="1"/>
  <c r="E6" i="39"/>
  <c r="G19" i="39"/>
  <c r="G21" i="39" s="1"/>
  <c r="H20" i="39"/>
  <c r="H20" i="38"/>
  <c r="I20" i="39" l="1"/>
  <c r="H19" i="39"/>
  <c r="H21" i="39" s="1"/>
  <c r="F6" i="39"/>
  <c r="E5" i="39"/>
  <c r="E7" i="39" s="1"/>
  <c r="I20" i="38"/>
  <c r="F5" i="39" l="1"/>
  <c r="F7" i="39" s="1"/>
  <c r="G6" i="39"/>
  <c r="I19" i="39"/>
  <c r="I21" i="39" s="1"/>
  <c r="J20" i="39"/>
  <c r="J20" i="38"/>
  <c r="G5" i="39" l="1"/>
  <c r="G7" i="39" s="1"/>
  <c r="H6" i="39"/>
  <c r="K20" i="39"/>
  <c r="J19" i="39"/>
  <c r="J21" i="39" s="1"/>
  <c r="K20" i="38"/>
  <c r="L20" i="39" l="1"/>
  <c r="K19" i="39"/>
  <c r="K21" i="39" s="1"/>
  <c r="H5" i="39"/>
  <c r="H7" i="39" s="1"/>
  <c r="I6" i="39"/>
  <c r="L20" i="38"/>
  <c r="M20" i="39" l="1"/>
  <c r="L19" i="39"/>
  <c r="L21" i="39" s="1"/>
  <c r="J6" i="39"/>
  <c r="I5" i="39"/>
  <c r="I7" i="39" s="1"/>
  <c r="M20" i="38"/>
  <c r="K6" i="39" l="1"/>
  <c r="J5" i="39"/>
  <c r="J7" i="39" s="1"/>
  <c r="N20" i="39"/>
  <c r="M19" i="39"/>
  <c r="M21" i="39" s="1"/>
  <c r="N20" i="38"/>
  <c r="O20" i="39" l="1"/>
  <c r="O19" i="39" s="1"/>
  <c r="O21" i="39" s="1"/>
  <c r="N19" i="39"/>
  <c r="N21" i="39" s="1"/>
  <c r="O31" i="39" s="1"/>
  <c r="K5" i="39"/>
  <c r="K7" i="39" s="1"/>
  <c r="L6" i="39"/>
  <c r="O20" i="38"/>
  <c r="L5" i="39" l="1"/>
  <c r="L7" i="39" s="1"/>
  <c r="M6" i="39"/>
  <c r="N6" i="39" l="1"/>
  <c r="M5" i="39"/>
  <c r="M7" i="39" s="1"/>
  <c r="O6" i="39" l="1"/>
  <c r="O5" i="39" s="1"/>
  <c r="O7" i="39" s="1"/>
  <c r="N5" i="39"/>
  <c r="N7" i="39" s="1"/>
  <c r="V100" i="8" l="1"/>
  <c r="V102" i="8"/>
  <c r="V57" i="8"/>
  <c r="V65" i="8"/>
  <c r="V73" i="8"/>
  <c r="V7" i="8"/>
  <c r="V9" i="8"/>
  <c r="V11" i="8"/>
  <c r="V13" i="8"/>
  <c r="X13" i="8" s="1"/>
  <c r="V16" i="8"/>
  <c r="V18" i="8"/>
  <c r="V20" i="8"/>
  <c r="V22" i="8"/>
  <c r="V24" i="8"/>
  <c r="V26" i="8"/>
  <c r="V28" i="8"/>
  <c r="V30" i="8"/>
  <c r="V32" i="8"/>
  <c r="V34" i="8"/>
  <c r="V36" i="8"/>
  <c r="V38" i="8"/>
  <c r="V40" i="8"/>
  <c r="V42" i="8"/>
  <c r="V44" i="8"/>
  <c r="D113" i="8"/>
  <c r="W30" i="8"/>
  <c r="F44" i="8"/>
  <c r="F38" i="8"/>
  <c r="W102" i="8"/>
  <c r="F86" i="8"/>
  <c r="F55" i="8"/>
  <c r="F49" i="8"/>
  <c r="F63" i="8"/>
  <c r="F11" i="8"/>
  <c r="F28" i="8"/>
  <c r="F51" i="8"/>
  <c r="F46" i="8"/>
  <c r="W80" i="8"/>
  <c r="F117" i="8"/>
  <c r="W86" i="8"/>
  <c r="F57" i="8"/>
  <c r="F13" i="8"/>
  <c r="F99" i="8"/>
  <c r="W36" i="8"/>
  <c r="W13" i="8"/>
  <c r="W20" i="8"/>
  <c r="F36" i="8"/>
  <c r="F88" i="8"/>
  <c r="F92" i="8"/>
  <c r="F61" i="8"/>
  <c r="W67" i="8"/>
  <c r="F22" i="8"/>
  <c r="W106" i="8"/>
  <c r="W57" i="8"/>
  <c r="F18" i="8"/>
  <c r="F82" i="8"/>
  <c r="F78" i="8"/>
  <c r="F53" i="8"/>
  <c r="W84" i="8"/>
  <c r="F104" i="8"/>
  <c r="W24" i="8"/>
  <c r="W69" i="8"/>
  <c r="F71" i="8"/>
  <c r="W65" i="8"/>
  <c r="W42" i="8"/>
  <c r="W32" i="8"/>
  <c r="W22" i="8"/>
  <c r="W46" i="8"/>
  <c r="F30" i="8"/>
  <c r="F101" i="8"/>
  <c r="W44" i="8"/>
  <c r="W110" i="8"/>
  <c r="F34" i="8"/>
  <c r="W18" i="8"/>
  <c r="F73" i="8"/>
  <c r="F115" i="8"/>
  <c r="F16" i="8"/>
  <c r="W100" i="8"/>
  <c r="W90" i="8"/>
  <c r="W26" i="8"/>
  <c r="F59" i="8"/>
  <c r="W40" i="8"/>
  <c r="W71" i="8"/>
  <c r="F67" i="8"/>
  <c r="W108" i="8"/>
  <c r="W28" i="8"/>
  <c r="W73" i="8"/>
  <c r="F32" i="8"/>
  <c r="W16" i="8"/>
  <c r="W7" i="8"/>
  <c r="W82" i="8"/>
  <c r="F84" i="8"/>
  <c r="F111" i="8"/>
  <c r="W38" i="8"/>
  <c r="W9" i="8"/>
  <c r="W88" i="8"/>
  <c r="W104" i="8"/>
  <c r="W11" i="8"/>
  <c r="W92" i="8"/>
  <c r="F26" i="8"/>
  <c r="F121" i="8"/>
  <c r="F119" i="8"/>
  <c r="F65" i="8"/>
  <c r="F113" i="8"/>
  <c r="F9" i="8"/>
  <c r="F42" i="8"/>
  <c r="F7" i="8"/>
  <c r="F20" i="8"/>
  <c r="W51" i="8"/>
  <c r="F40" i="8"/>
  <c r="F69" i="8"/>
  <c r="F106" i="8"/>
  <c r="F80" i="8"/>
  <c r="F24" i="8"/>
  <c r="W98" i="8"/>
  <c r="W78" i="8"/>
  <c r="F75" i="8"/>
  <c r="F109" i="8"/>
  <c r="F90" i="8"/>
  <c r="F128" i="8"/>
  <c r="W49" i="8"/>
  <c r="W34" i="8"/>
  <c r="V82" i="8" l="1"/>
  <c r="Z93" i="8"/>
  <c r="Y93" i="8"/>
  <c r="Z91" i="8"/>
  <c r="Y91" i="8"/>
  <c r="Z89" i="8"/>
  <c r="Y89" i="8"/>
  <c r="AB87" i="8"/>
  <c r="AA87" i="8"/>
  <c r="Z87" i="8"/>
  <c r="Y87" i="8"/>
  <c r="AB85" i="8"/>
  <c r="AA85" i="8"/>
  <c r="Z85" i="8"/>
  <c r="Y85" i="8"/>
  <c r="Z81" i="8"/>
  <c r="Y81" i="8"/>
  <c r="AB79" i="8"/>
  <c r="AA79" i="8"/>
  <c r="Z79" i="8"/>
  <c r="Y79" i="8"/>
  <c r="Z76" i="8"/>
  <c r="Y76" i="8"/>
  <c r="Z72" i="8"/>
  <c r="Y72" i="8"/>
  <c r="Z70" i="8"/>
  <c r="Y70" i="8"/>
  <c r="Z68" i="8"/>
  <c r="Y68" i="8"/>
  <c r="V67" i="8" s="1"/>
  <c r="Z64" i="8"/>
  <c r="Y64" i="8"/>
  <c r="Z62" i="8"/>
  <c r="Y62" i="8"/>
  <c r="Z60" i="8"/>
  <c r="Y60" i="8"/>
  <c r="Z56" i="8"/>
  <c r="Y56" i="8"/>
  <c r="Z54" i="8"/>
  <c r="Y54" i="8"/>
  <c r="Z52" i="8"/>
  <c r="Y52" i="8"/>
  <c r="Z50" i="8"/>
  <c r="Y50" i="8"/>
  <c r="Z47" i="8"/>
  <c r="Y47" i="8"/>
  <c r="X100" i="8"/>
  <c r="D130" i="8"/>
  <c r="D128" i="8"/>
  <c r="D101" i="8"/>
  <c r="D104" i="8"/>
  <c r="D106" i="8"/>
  <c r="D99" i="8"/>
  <c r="C130" i="8"/>
  <c r="C128" i="8"/>
  <c r="C106" i="8"/>
  <c r="M116" i="8"/>
  <c r="W55" i="8"/>
  <c r="W63" i="8"/>
  <c r="W59" i="8"/>
  <c r="W75" i="8"/>
  <c r="W61" i="8"/>
  <c r="F130" i="8"/>
  <c r="W53" i="8"/>
  <c r="V51" i="8" l="1"/>
  <c r="V55" i="8"/>
  <c r="V61" i="8"/>
  <c r="V49" i="8"/>
  <c r="V84" i="8"/>
  <c r="V92" i="8"/>
  <c r="V80" i="8"/>
  <c r="V46" i="8"/>
  <c r="V71" i="8"/>
  <c r="V78" i="8"/>
  <c r="V90" i="8"/>
  <c r="V53" i="8"/>
  <c r="V59" i="8"/>
  <c r="V63" i="8"/>
  <c r="V69" i="8"/>
  <c r="V75" i="8"/>
  <c r="V86" i="8"/>
  <c r="V88" i="8"/>
  <c r="X102" i="8"/>
  <c r="G130" i="8"/>
  <c r="G104" i="8"/>
  <c r="E130" i="8"/>
  <c r="C132" i="8"/>
  <c r="D132" i="8"/>
  <c r="J160" i="8" s="1"/>
  <c r="K169" i="8" s="1"/>
  <c r="E128" i="8"/>
  <c r="G128" i="8"/>
  <c r="F132" i="8"/>
  <c r="J161" i="8" s="1"/>
  <c r="C113" i="8"/>
  <c r="K116" i="8"/>
  <c r="C111" i="8"/>
  <c r="C109" i="8"/>
  <c r="J162" i="8" l="1"/>
  <c r="J169" i="8" s="1"/>
  <c r="L169" i="8"/>
  <c r="G132" i="8"/>
  <c r="Y105" i="8"/>
  <c r="AB97" i="8"/>
  <c r="V104" i="8" l="1"/>
  <c r="X104" i="8" s="1"/>
  <c r="K161" i="8"/>
  <c r="K160" i="8"/>
  <c r="AE111" i="8"/>
  <c r="AD111" i="8"/>
  <c r="AC111" i="8"/>
  <c r="AB111" i="8"/>
  <c r="AA111" i="8"/>
  <c r="Z111" i="8"/>
  <c r="Y111" i="8"/>
  <c r="AD109" i="8"/>
  <c r="AE109" i="8"/>
  <c r="AC109" i="8"/>
  <c r="AB109" i="8"/>
  <c r="AA109" i="8"/>
  <c r="Z109" i="8"/>
  <c r="Y109" i="8"/>
  <c r="AE107" i="8"/>
  <c r="AD107" i="8"/>
  <c r="AC107" i="8"/>
  <c r="AB107" i="8"/>
  <c r="AA107" i="8"/>
  <c r="Z107" i="8"/>
  <c r="Y107" i="8"/>
  <c r="V108" i="8" l="1"/>
  <c r="V106" i="8"/>
  <c r="V110" i="8"/>
  <c r="X110" i="8" s="1"/>
  <c r="K162" i="8"/>
  <c r="N169" i="8"/>
  <c r="X108" i="8"/>
  <c r="X106" i="8"/>
  <c r="Z99" i="8"/>
  <c r="Y99" i="8"/>
  <c r="V98" i="8" s="1"/>
  <c r="X98" i="8" l="1"/>
  <c r="AA97" i="8"/>
  <c r="Z97" i="8"/>
  <c r="Y97" i="8"/>
  <c r="W96" i="8"/>
  <c r="W112" i="8" l="1"/>
  <c r="J149" i="8" s="1"/>
  <c r="L167" i="8" s="1"/>
  <c r="V96" i="8"/>
  <c r="V112" i="8" s="1"/>
  <c r="D117" i="8"/>
  <c r="D119" i="8"/>
  <c r="D115" i="8"/>
  <c r="D111" i="8"/>
  <c r="D109" i="8"/>
  <c r="J148" i="8" l="1"/>
  <c r="K167" i="8" s="1"/>
  <c r="X112" i="8"/>
  <c r="X96" i="8"/>
  <c r="E109" i="8"/>
  <c r="F123" i="8"/>
  <c r="J155" i="8" s="1"/>
  <c r="L168" i="8" s="1"/>
  <c r="G113" i="8"/>
  <c r="E113" i="8"/>
  <c r="G117" i="8"/>
  <c r="D121" i="8"/>
  <c r="G119" i="8"/>
  <c r="E106" i="8"/>
  <c r="E111" i="8"/>
  <c r="G99" i="8"/>
  <c r="G109" i="8"/>
  <c r="G115" i="8"/>
  <c r="G106" i="8"/>
  <c r="G101" i="8"/>
  <c r="G111" i="8"/>
  <c r="D82" i="8"/>
  <c r="D123" i="8" l="1"/>
  <c r="G121" i="8"/>
  <c r="J154" i="8" l="1"/>
  <c r="K168" i="8" s="1"/>
  <c r="D86" i="8"/>
  <c r="D88" i="8"/>
  <c r="J156" i="8" l="1"/>
  <c r="K154" i="8" s="1"/>
  <c r="N168" i="8" s="1"/>
  <c r="D90" i="8"/>
  <c r="J168" i="8" l="1"/>
  <c r="K155" i="8"/>
  <c r="K156" i="8" s="1"/>
  <c r="C92" i="8"/>
  <c r="E45" i="35" l="1"/>
  <c r="F58" i="35"/>
  <c r="E100" i="35"/>
  <c r="F126" i="35"/>
  <c r="Q47" i="8" l="1"/>
  <c r="Q70" i="8"/>
  <c r="Q95" i="8" l="1"/>
  <c r="I33" i="8"/>
  <c r="I31" i="8"/>
  <c r="I29" i="8"/>
  <c r="I27" i="8"/>
  <c r="I25" i="8"/>
  <c r="I21" i="8"/>
  <c r="I19" i="8"/>
  <c r="M85" i="8" l="1"/>
  <c r="D84" i="8" s="1"/>
  <c r="L81" i="8"/>
  <c r="D80" i="8" s="1"/>
  <c r="I58" i="8"/>
  <c r="K50" i="8"/>
  <c r="L37" i="8"/>
  <c r="I41" i="8"/>
  <c r="O45" i="8"/>
  <c r="M47" i="8"/>
  <c r="M52" i="8"/>
  <c r="L70" i="8" l="1"/>
  <c r="J23" i="8"/>
  <c r="O29" i="34" l="1"/>
  <c r="C20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O15" i="34"/>
  <c r="C6" i="34"/>
  <c r="D6" i="34" s="1"/>
  <c r="D5" i="34" s="1"/>
  <c r="D7" i="34" s="1"/>
  <c r="O29" i="32"/>
  <c r="C20" i="32"/>
  <c r="D20" i="32" s="1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O15" i="32"/>
  <c r="C6" i="32"/>
  <c r="D6" i="32" s="1"/>
  <c r="D5" i="32" s="1"/>
  <c r="D7" i="32" s="1"/>
  <c r="C5" i="32"/>
  <c r="C7" i="32" s="1"/>
  <c r="C19" i="34" l="1"/>
  <c r="C21" i="34" s="1"/>
  <c r="C5" i="34"/>
  <c r="C7" i="34" s="1"/>
  <c r="E6" i="34"/>
  <c r="D20" i="34"/>
  <c r="C19" i="32"/>
  <c r="C21" i="32" s="1"/>
  <c r="D19" i="32"/>
  <c r="D21" i="32" s="1"/>
  <c r="E20" i="32"/>
  <c r="F20" i="32" s="1"/>
  <c r="G20" i="32" s="1"/>
  <c r="H20" i="32" s="1"/>
  <c r="E6" i="32"/>
  <c r="E5" i="34" l="1"/>
  <c r="E7" i="34" s="1"/>
  <c r="F6" i="34"/>
  <c r="E20" i="34"/>
  <c r="D19" i="34"/>
  <c r="D21" i="34" s="1"/>
  <c r="H19" i="32"/>
  <c r="H21" i="32" s="1"/>
  <c r="I20" i="32"/>
  <c r="F19" i="32"/>
  <c r="F21" i="32" s="1"/>
  <c r="G19" i="32"/>
  <c r="G21" i="32" s="1"/>
  <c r="F6" i="32"/>
  <c r="E5" i="32"/>
  <c r="E7" i="32" s="1"/>
  <c r="E19" i="32"/>
  <c r="E21" i="32" s="1"/>
  <c r="G6" i="34" l="1"/>
  <c r="F5" i="34"/>
  <c r="F7" i="34" s="1"/>
  <c r="F20" i="34"/>
  <c r="E19" i="34"/>
  <c r="E21" i="34" s="1"/>
  <c r="G6" i="32"/>
  <c r="F5" i="32"/>
  <c r="F7" i="32" s="1"/>
  <c r="J20" i="32"/>
  <c r="I19" i="32"/>
  <c r="I21" i="32" s="1"/>
  <c r="G20" i="34" l="1"/>
  <c r="F19" i="34"/>
  <c r="F21" i="34" s="1"/>
  <c r="G5" i="34"/>
  <c r="G7" i="34" s="1"/>
  <c r="H6" i="34"/>
  <c r="K20" i="32"/>
  <c r="J19" i="32"/>
  <c r="J21" i="32" s="1"/>
  <c r="G5" i="32"/>
  <c r="G7" i="32" s="1"/>
  <c r="H6" i="32"/>
  <c r="H5" i="34" l="1"/>
  <c r="H7" i="34" s="1"/>
  <c r="I6" i="34"/>
  <c r="G19" i="34"/>
  <c r="G21" i="34" s="1"/>
  <c r="H20" i="34"/>
  <c r="H5" i="32"/>
  <c r="H7" i="32" s="1"/>
  <c r="I6" i="32"/>
  <c r="L20" i="32"/>
  <c r="K19" i="32"/>
  <c r="K21" i="32" s="1"/>
  <c r="H19" i="34" l="1"/>
  <c r="H21" i="34" s="1"/>
  <c r="I20" i="34"/>
  <c r="J6" i="34"/>
  <c r="I5" i="34"/>
  <c r="I7" i="34" s="1"/>
  <c r="L19" i="32"/>
  <c r="L21" i="32" s="1"/>
  <c r="M20" i="32"/>
  <c r="I5" i="32"/>
  <c r="I7" i="32" s="1"/>
  <c r="J6" i="32"/>
  <c r="J20" i="34" l="1"/>
  <c r="I19" i="34"/>
  <c r="I21" i="34" s="1"/>
  <c r="K6" i="34"/>
  <c r="J5" i="34"/>
  <c r="J7" i="34" s="1"/>
  <c r="N20" i="32"/>
  <c r="M19" i="32"/>
  <c r="M21" i="32" s="1"/>
  <c r="K6" i="32"/>
  <c r="J5" i="32"/>
  <c r="J7" i="32" s="1"/>
  <c r="K20" i="34" l="1"/>
  <c r="J19" i="34"/>
  <c r="J21" i="34" s="1"/>
  <c r="K5" i="34"/>
  <c r="K7" i="34" s="1"/>
  <c r="L6" i="34"/>
  <c r="O20" i="32"/>
  <c r="O19" i="32" s="1"/>
  <c r="O21" i="32" s="1"/>
  <c r="N19" i="32"/>
  <c r="N21" i="32" s="1"/>
  <c r="O31" i="32" s="1"/>
  <c r="K5" i="32"/>
  <c r="K7" i="32" s="1"/>
  <c r="L6" i="32"/>
  <c r="L5" i="34" l="1"/>
  <c r="L7" i="34" s="1"/>
  <c r="M6" i="34"/>
  <c r="K19" i="34"/>
  <c r="K21" i="34" s="1"/>
  <c r="L20" i="34"/>
  <c r="L5" i="32"/>
  <c r="L7" i="32" s="1"/>
  <c r="M6" i="32"/>
  <c r="M20" i="34" l="1"/>
  <c r="L19" i="34"/>
  <c r="L21" i="34" s="1"/>
  <c r="N6" i="34"/>
  <c r="M5" i="34"/>
  <c r="M7" i="34" s="1"/>
  <c r="N6" i="32"/>
  <c r="M5" i="32"/>
  <c r="M7" i="32" s="1"/>
  <c r="O6" i="34" l="1"/>
  <c r="O5" i="34" s="1"/>
  <c r="O7" i="34" s="1"/>
  <c r="N5" i="34"/>
  <c r="N7" i="34" s="1"/>
  <c r="N20" i="34"/>
  <c r="M19" i="34"/>
  <c r="M21" i="34" s="1"/>
  <c r="O6" i="32"/>
  <c r="O5" i="32" s="1"/>
  <c r="O7" i="32" s="1"/>
  <c r="N5" i="32"/>
  <c r="N7" i="32" s="1"/>
  <c r="O29" i="31"/>
  <c r="C20" i="31"/>
  <c r="D20" i="31" s="1"/>
  <c r="E20" i="31" s="1"/>
  <c r="F20" i="31" s="1"/>
  <c r="G20" i="31" s="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O15" i="31"/>
  <c r="C6" i="31"/>
  <c r="C5" i="31" s="1"/>
  <c r="C7" i="31" s="1"/>
  <c r="C19" i="31" l="1"/>
  <c r="C21" i="31" s="1"/>
  <c r="E19" i="31"/>
  <c r="E21" i="31" s="1"/>
  <c r="O20" i="34"/>
  <c r="O19" i="34" s="1"/>
  <c r="O21" i="34" s="1"/>
  <c r="N19" i="34"/>
  <c r="N21" i="34" s="1"/>
  <c r="O31" i="34" s="1"/>
  <c r="G19" i="31"/>
  <c r="G21" i="31" s="1"/>
  <c r="H20" i="31"/>
  <c r="I20" i="31" s="1"/>
  <c r="J20" i="31" s="1"/>
  <c r="K20" i="31" s="1"/>
  <c r="F19" i="31"/>
  <c r="F21" i="31" s="1"/>
  <c r="D19" i="31"/>
  <c r="D21" i="31" s="1"/>
  <c r="D6" i="31"/>
  <c r="I19" i="31" l="1"/>
  <c r="I21" i="31" s="1"/>
  <c r="H19" i="31"/>
  <c r="H21" i="31" s="1"/>
  <c r="K19" i="31"/>
  <c r="K21" i="31" s="1"/>
  <c r="L20" i="31"/>
  <c r="E6" i="31"/>
  <c r="D5" i="31"/>
  <c r="D7" i="31" s="1"/>
  <c r="J19" i="31"/>
  <c r="J21" i="31" s="1"/>
  <c r="D8" i="30"/>
  <c r="M20" i="31" l="1"/>
  <c r="L19" i="31"/>
  <c r="L21" i="31" s="1"/>
  <c r="F6" i="31"/>
  <c r="E5" i="31"/>
  <c r="E7" i="31" s="1"/>
  <c r="F54" i="30"/>
  <c r="I8" i="30" s="1"/>
  <c r="C54" i="30"/>
  <c r="I5" i="30" s="1"/>
  <c r="E54" i="30"/>
  <c r="I7" i="30" s="1"/>
  <c r="N20" i="31" l="1"/>
  <c r="M19" i="31"/>
  <c r="M21" i="31" s="1"/>
  <c r="F5" i="31"/>
  <c r="F7" i="31" s="1"/>
  <c r="G6" i="31"/>
  <c r="O29" i="28"/>
  <c r="C20" i="28"/>
  <c r="D20" i="28" s="1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C19" i="28" s="1"/>
  <c r="C21" i="28" s="1"/>
  <c r="O15" i="28"/>
  <c r="C6" i="28"/>
  <c r="C5" i="28" s="1"/>
  <c r="C7" i="28" s="1"/>
  <c r="D6" i="28"/>
  <c r="D5" i="28" s="1"/>
  <c r="D7" i="28" s="1"/>
  <c r="G108" i="10"/>
  <c r="G109" i="10"/>
  <c r="G110" i="10"/>
  <c r="D111" i="10"/>
  <c r="G111" i="10"/>
  <c r="G118" i="10"/>
  <c r="G128" i="10" s="1"/>
  <c r="G119" i="10"/>
  <c r="G120" i="10"/>
  <c r="G121" i="10"/>
  <c r="G122" i="10"/>
  <c r="G123" i="10"/>
  <c r="G124" i="10"/>
  <c r="G131" i="10"/>
  <c r="G132" i="10"/>
  <c r="G133" i="10"/>
  <c r="G134" i="10"/>
  <c r="G135" i="10"/>
  <c r="G136" i="10"/>
  <c r="G137" i="10"/>
  <c r="G146" i="10"/>
  <c r="G147" i="10"/>
  <c r="G148" i="10"/>
  <c r="G149" i="10"/>
  <c r="G150" i="10"/>
  <c r="G151" i="10"/>
  <c r="G152" i="10"/>
  <c r="G162" i="10"/>
  <c r="G163" i="10"/>
  <c r="G164" i="10"/>
  <c r="G165" i="10"/>
  <c r="G166" i="10"/>
  <c r="G167" i="10"/>
  <c r="G168" i="10"/>
  <c r="G175" i="10"/>
  <c r="G176" i="10"/>
  <c r="G177" i="10"/>
  <c r="G178" i="10"/>
  <c r="I185" i="10" s="1"/>
  <c r="G179" i="10"/>
  <c r="G180" i="10"/>
  <c r="G181" i="10"/>
  <c r="G188" i="10"/>
  <c r="G189" i="10"/>
  <c r="G190" i="10"/>
  <c r="G191" i="10"/>
  <c r="G192" i="10"/>
  <c r="G193" i="10"/>
  <c r="G194" i="10"/>
  <c r="G204" i="10"/>
  <c r="G205" i="10"/>
  <c r="G206" i="10"/>
  <c r="G207" i="10"/>
  <c r="G208" i="10"/>
  <c r="G209" i="10"/>
  <c r="G210" i="10"/>
  <c r="G217" i="10"/>
  <c r="G218" i="10"/>
  <c r="G225" i="10" s="1"/>
  <c r="G219" i="10"/>
  <c r="G220" i="10"/>
  <c r="G221" i="10"/>
  <c r="G222" i="10"/>
  <c r="G223" i="10"/>
  <c r="G228" i="10"/>
  <c r="G229" i="10"/>
  <c r="G230" i="10"/>
  <c r="G231" i="10"/>
  <c r="G232" i="10"/>
  <c r="G233" i="10"/>
  <c r="G234" i="10"/>
  <c r="G243" i="10"/>
  <c r="G244" i="10"/>
  <c r="G245" i="10"/>
  <c r="G246" i="10"/>
  <c r="G247" i="10"/>
  <c r="G248" i="10"/>
  <c r="G249" i="10"/>
  <c r="G257" i="10"/>
  <c r="G267" i="10" s="1"/>
  <c r="G258" i="10"/>
  <c r="G259" i="10"/>
  <c r="G260" i="10"/>
  <c r="G261" i="10"/>
  <c r="G262" i="10"/>
  <c r="G263" i="10"/>
  <c r="G271" i="10"/>
  <c r="G272" i="10"/>
  <c r="G273" i="10"/>
  <c r="G274" i="10"/>
  <c r="G280" i="10" s="1"/>
  <c r="G275" i="10"/>
  <c r="G276" i="10"/>
  <c r="G277" i="10"/>
  <c r="G284" i="10"/>
  <c r="G285" i="10"/>
  <c r="G286" i="10"/>
  <c r="G287" i="10"/>
  <c r="G288" i="10"/>
  <c r="G289" i="10"/>
  <c r="G290" i="10"/>
  <c r="G298" i="10"/>
  <c r="G299" i="10"/>
  <c r="G300" i="10"/>
  <c r="G301" i="10"/>
  <c r="G302" i="10"/>
  <c r="G303" i="10"/>
  <c r="G304" i="10"/>
  <c r="G312" i="10"/>
  <c r="G313" i="10"/>
  <c r="G314" i="10"/>
  <c r="G315" i="10"/>
  <c r="G316" i="10"/>
  <c r="G317" i="10"/>
  <c r="G318" i="10"/>
  <c r="G327" i="10"/>
  <c r="G328" i="10"/>
  <c r="G329" i="10"/>
  <c r="G330" i="10"/>
  <c r="G331" i="10"/>
  <c r="G335" i="10" s="1"/>
  <c r="G332" i="10"/>
  <c r="G333" i="10"/>
  <c r="G339" i="10"/>
  <c r="G340" i="10"/>
  <c r="G341" i="10"/>
  <c r="G342" i="10"/>
  <c r="G343" i="10"/>
  <c r="G344" i="10"/>
  <c r="G345" i="10"/>
  <c r="G353" i="10"/>
  <c r="G364" i="10" s="1"/>
  <c r="G354" i="10"/>
  <c r="G355" i="10"/>
  <c r="G356" i="10"/>
  <c r="G357" i="10"/>
  <c r="G358" i="10"/>
  <c r="G359" i="10"/>
  <c r="G368" i="10"/>
  <c r="G369" i="10"/>
  <c r="G370" i="10"/>
  <c r="G371" i="10"/>
  <c r="G372" i="10"/>
  <c r="G373" i="10"/>
  <c r="G374" i="10"/>
  <c r="G382" i="10"/>
  <c r="G383" i="10"/>
  <c r="G384" i="10"/>
  <c r="G385" i="10"/>
  <c r="G386" i="10"/>
  <c r="G387" i="10"/>
  <c r="G388" i="10"/>
  <c r="G396" i="10"/>
  <c r="G407" i="10" s="1"/>
  <c r="G397" i="10"/>
  <c r="G398" i="10"/>
  <c r="G399" i="10"/>
  <c r="G400" i="10"/>
  <c r="G401" i="10"/>
  <c r="G402" i="10"/>
  <c r="G411" i="10"/>
  <c r="G412" i="10"/>
  <c r="G413" i="10"/>
  <c r="G414" i="10"/>
  <c r="G415" i="10"/>
  <c r="G416" i="10"/>
  <c r="G417" i="10"/>
  <c r="G422" i="10"/>
  <c r="G423" i="10"/>
  <c r="G424" i="10"/>
  <c r="G425" i="10"/>
  <c r="G426" i="10"/>
  <c r="G427" i="10"/>
  <c r="I429" i="10"/>
  <c r="L429" i="10" s="1"/>
  <c r="G432" i="10"/>
  <c r="G433" i="10"/>
  <c r="G434" i="10"/>
  <c r="G435" i="10"/>
  <c r="G436" i="10"/>
  <c r="G437" i="10"/>
  <c r="G443" i="10"/>
  <c r="G444" i="10"/>
  <c r="G445" i="10"/>
  <c r="G446" i="10"/>
  <c r="G447" i="10"/>
  <c r="G448" i="10"/>
  <c r="G453" i="10"/>
  <c r="G454" i="10"/>
  <c r="G455" i="10"/>
  <c r="G456" i="10"/>
  <c r="G457" i="10"/>
  <c r="G458" i="10"/>
  <c r="G463" i="10"/>
  <c r="G464" i="10"/>
  <c r="G471" i="10" s="1"/>
  <c r="G465" i="10"/>
  <c r="G466" i="10"/>
  <c r="G467" i="10"/>
  <c r="G468" i="10"/>
  <c r="G474" i="10"/>
  <c r="G475" i="10"/>
  <c r="G476" i="10"/>
  <c r="G477" i="10"/>
  <c r="G478" i="10"/>
  <c r="G479" i="10"/>
  <c r="G484" i="10"/>
  <c r="I491" i="10" s="1"/>
  <c r="G485" i="10"/>
  <c r="G486" i="10"/>
  <c r="G487" i="10"/>
  <c r="G488" i="10"/>
  <c r="G489" i="10"/>
  <c r="G494" i="10"/>
  <c r="G495" i="10"/>
  <c r="G496" i="10"/>
  <c r="G497" i="10"/>
  <c r="G498" i="10"/>
  <c r="G499" i="10"/>
  <c r="G505" i="10"/>
  <c r="G506" i="10"/>
  <c r="G507" i="10"/>
  <c r="G508" i="10"/>
  <c r="G512" i="10" s="1"/>
  <c r="G509" i="10"/>
  <c r="G510" i="10"/>
  <c r="I512" i="10"/>
  <c r="C26" i="8" s="1"/>
  <c r="G515" i="10"/>
  <c r="G522" i="10" s="1"/>
  <c r="G516" i="10"/>
  <c r="G517" i="10"/>
  <c r="G518" i="10"/>
  <c r="G519" i="10"/>
  <c r="G520" i="10"/>
  <c r="D533" i="10"/>
  <c r="E525" i="10" s="1"/>
  <c r="G525" i="10" s="1"/>
  <c r="G526" i="10"/>
  <c r="G527" i="10"/>
  <c r="G528" i="10"/>
  <c r="G529" i="10"/>
  <c r="G530" i="10"/>
  <c r="D543" i="10"/>
  <c r="E536" i="10" s="1"/>
  <c r="G536" i="10" s="1"/>
  <c r="E539" i="10"/>
  <c r="G539" i="10" s="1"/>
  <c r="D554" i="10"/>
  <c r="E546" i="10" s="1"/>
  <c r="G546" i="10" s="1"/>
  <c r="G547" i="10"/>
  <c r="G548" i="10"/>
  <c r="G549" i="10"/>
  <c r="G550" i="10"/>
  <c r="G551" i="10"/>
  <c r="G557" i="10"/>
  <c r="I560" i="10" s="1"/>
  <c r="G558" i="10"/>
  <c r="G564" i="10"/>
  <c r="G569" i="10"/>
  <c r="I569" i="10" s="1"/>
  <c r="L569" i="10" s="1"/>
  <c r="G574" i="10"/>
  <c r="I574" i="10"/>
  <c r="C7" i="8" s="1"/>
  <c r="O2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O15" i="26"/>
  <c r="D78" i="8"/>
  <c r="D44" i="8"/>
  <c r="D61" i="8"/>
  <c r="D22" i="8"/>
  <c r="D7" i="8"/>
  <c r="D9" i="8"/>
  <c r="I12" i="8"/>
  <c r="D11" i="8" s="1"/>
  <c r="I14" i="8"/>
  <c r="I17" i="8"/>
  <c r="D16" i="8" s="1"/>
  <c r="D18" i="8"/>
  <c r="D20" i="8"/>
  <c r="D24" i="8"/>
  <c r="D26" i="8"/>
  <c r="D28" i="8"/>
  <c r="D30" i="8"/>
  <c r="D32" i="8"/>
  <c r="D34" i="8"/>
  <c r="D36" i="8"/>
  <c r="D38" i="8"/>
  <c r="D40" i="8"/>
  <c r="D42" i="8"/>
  <c r="D46" i="8"/>
  <c r="D49" i="8"/>
  <c r="G49" i="8" s="1"/>
  <c r="D51" i="8"/>
  <c r="D53" i="8"/>
  <c r="D55" i="8"/>
  <c r="D57" i="8"/>
  <c r="D59" i="8"/>
  <c r="D63" i="8"/>
  <c r="D65" i="8"/>
  <c r="D67" i="8"/>
  <c r="D69" i="8"/>
  <c r="D71" i="8"/>
  <c r="D73" i="8"/>
  <c r="D75" i="8"/>
  <c r="I93" i="8"/>
  <c r="J93" i="8"/>
  <c r="K93" i="8"/>
  <c r="L93" i="8"/>
  <c r="D18" i="17"/>
  <c r="G18" i="17"/>
  <c r="X7" i="8"/>
  <c r="X9" i="8"/>
  <c r="X11" i="8"/>
  <c r="X16" i="8"/>
  <c r="X18" i="8"/>
  <c r="X20" i="8"/>
  <c r="X22" i="8"/>
  <c r="X24" i="8"/>
  <c r="X28" i="8"/>
  <c r="X30" i="8"/>
  <c r="X32" i="8"/>
  <c r="X34" i="8"/>
  <c r="X36" i="8"/>
  <c r="X38" i="8"/>
  <c r="X40" i="8"/>
  <c r="X42" i="8"/>
  <c r="X44" i="8"/>
  <c r="X57" i="8"/>
  <c r="X65" i="8"/>
  <c r="X73" i="8"/>
  <c r="G182" i="10"/>
  <c r="G183" i="10"/>
  <c r="J159" i="10"/>
  <c r="G157" i="10"/>
  <c r="K159" i="10" s="1"/>
  <c r="G360" i="10"/>
  <c r="G361" i="10"/>
  <c r="G362" i="10"/>
  <c r="K364" i="10" s="1"/>
  <c r="G305" i="10"/>
  <c r="G306" i="10"/>
  <c r="G291" i="10"/>
  <c r="G292" i="10"/>
  <c r="G250" i="10"/>
  <c r="G251" i="10"/>
  <c r="J253" i="10" s="1"/>
  <c r="G235" i="10"/>
  <c r="G236" i="10"/>
  <c r="G237" i="10"/>
  <c r="K240" i="10" s="1"/>
  <c r="G403" i="10"/>
  <c r="G404" i="10"/>
  <c r="G405" i="10"/>
  <c r="K407" i="10"/>
  <c r="D12" i="10"/>
  <c r="I12" i="10"/>
  <c r="J12" i="10"/>
  <c r="D24" i="10"/>
  <c r="I24" i="10"/>
  <c r="J24" i="10"/>
  <c r="D36" i="10"/>
  <c r="I36" i="10"/>
  <c r="J36" i="10"/>
  <c r="D44" i="10"/>
  <c r="I44" i="10"/>
  <c r="C115" i="8" s="1"/>
  <c r="E115" i="8" s="1"/>
  <c r="J44" i="10"/>
  <c r="D7" i="30" s="1"/>
  <c r="K44" i="10"/>
  <c r="D65" i="10"/>
  <c r="I65" i="10"/>
  <c r="J65" i="10"/>
  <c r="K65" i="10"/>
  <c r="L65" i="10"/>
  <c r="D76" i="10"/>
  <c r="I76" i="10"/>
  <c r="L76" i="10" s="1"/>
  <c r="J76" i="10"/>
  <c r="K76" i="10"/>
  <c r="D91" i="10"/>
  <c r="I91" i="10"/>
  <c r="J91" i="10"/>
  <c r="K91" i="10"/>
  <c r="D105" i="10"/>
  <c r="I105" i="10"/>
  <c r="C99" i="8" s="1"/>
  <c r="J105" i="10"/>
  <c r="K105" i="10"/>
  <c r="L105" i="10"/>
  <c r="G112" i="10"/>
  <c r="G113" i="10"/>
  <c r="D115" i="10"/>
  <c r="J115" i="10"/>
  <c r="G125" i="10"/>
  <c r="G126" i="10"/>
  <c r="D128" i="10"/>
  <c r="J128" i="10"/>
  <c r="X131" i="10"/>
  <c r="W131" i="10"/>
  <c r="T131" i="10" s="1"/>
  <c r="G138" i="10"/>
  <c r="G139" i="10"/>
  <c r="G140" i="10"/>
  <c r="G141" i="10"/>
  <c r="D143" i="10"/>
  <c r="J143" i="10"/>
  <c r="J172" i="10"/>
  <c r="J185" i="10"/>
  <c r="J201" i="10"/>
  <c r="J214" i="10"/>
  <c r="J240" i="10"/>
  <c r="J267" i="10"/>
  <c r="J294" i="10"/>
  <c r="J308" i="10"/>
  <c r="J323" i="10"/>
  <c r="J349" i="10"/>
  <c r="J364" i="10"/>
  <c r="J378" i="10"/>
  <c r="J392" i="10"/>
  <c r="J407" i="10"/>
  <c r="X146" i="10"/>
  <c r="W146" i="10"/>
  <c r="T146" i="10" s="1"/>
  <c r="G153" i="10"/>
  <c r="G154" i="10"/>
  <c r="G155" i="10"/>
  <c r="G156" i="10"/>
  <c r="D159" i="10"/>
  <c r="G169" i="10"/>
  <c r="G170" i="10"/>
  <c r="D172" i="10"/>
  <c r="D185" i="10"/>
  <c r="G195" i="10"/>
  <c r="G196" i="10"/>
  <c r="G197" i="10"/>
  <c r="G198" i="10"/>
  <c r="G199" i="10"/>
  <c r="K201" i="10" s="1"/>
  <c r="D201" i="10"/>
  <c r="G211" i="10"/>
  <c r="G212" i="10"/>
  <c r="D214" i="10"/>
  <c r="D225" i="10"/>
  <c r="D240" i="10"/>
  <c r="D253" i="10"/>
  <c r="G264" i="10"/>
  <c r="G265" i="10"/>
  <c r="D267" i="10"/>
  <c r="G278" i="10"/>
  <c r="K280" i="10" s="1"/>
  <c r="D280" i="10"/>
  <c r="D294" i="10"/>
  <c r="D308" i="10"/>
  <c r="G319" i="10"/>
  <c r="G320" i="10"/>
  <c r="G321" i="10"/>
  <c r="K323" i="10" s="1"/>
  <c r="D323" i="10"/>
  <c r="D335" i="10"/>
  <c r="G346" i="10"/>
  <c r="G347" i="10"/>
  <c r="D349" i="10"/>
  <c r="D364" i="10"/>
  <c r="G375" i="10"/>
  <c r="G376" i="10"/>
  <c r="D378" i="10"/>
  <c r="G389" i="10"/>
  <c r="G390" i="10"/>
  <c r="D392" i="10"/>
  <c r="D407" i="10"/>
  <c r="D419" i="10"/>
  <c r="D429" i="10"/>
  <c r="G438" i="10"/>
  <c r="K440" i="10"/>
  <c r="D440" i="10"/>
  <c r="D450" i="10"/>
  <c r="D460" i="10"/>
  <c r="G469" i="10"/>
  <c r="K471" i="10" s="1"/>
  <c r="D471" i="10"/>
  <c r="D481" i="10"/>
  <c r="D491" i="10"/>
  <c r="G500" i="10"/>
  <c r="K502" i="10" s="1"/>
  <c r="D502" i="10"/>
  <c r="D512" i="10"/>
  <c r="D522" i="10"/>
  <c r="G531" i="10"/>
  <c r="K533" i="10" s="1"/>
  <c r="G552" i="10"/>
  <c r="K554" i="10" s="1"/>
  <c r="D560" i="10"/>
  <c r="G560" i="10"/>
  <c r="M105" i="10"/>
  <c r="K12" i="10"/>
  <c r="I564" i="10"/>
  <c r="L564" i="10" s="1"/>
  <c r="K36" i="10"/>
  <c r="G253" i="10"/>
  <c r="G214" i="10"/>
  <c r="G159" i="10"/>
  <c r="E13" i="8"/>
  <c r="C20" i="26"/>
  <c r="D20" i="26" s="1"/>
  <c r="C6" i="26"/>
  <c r="C5" i="26" s="1"/>
  <c r="C7" i="26" s="1"/>
  <c r="G323" i="10" l="1"/>
  <c r="L91" i="10"/>
  <c r="M65" i="10"/>
  <c r="K24" i="10"/>
  <c r="G491" i="10"/>
  <c r="I364" i="10"/>
  <c r="L364" i="10" s="1"/>
  <c r="I225" i="10"/>
  <c r="G502" i="10"/>
  <c r="I471" i="10"/>
  <c r="C34" i="8" s="1"/>
  <c r="E34" i="8" s="1"/>
  <c r="G240" i="10"/>
  <c r="G115" i="10"/>
  <c r="I335" i="10"/>
  <c r="I201" i="10"/>
  <c r="G450" i="10"/>
  <c r="G429" i="10"/>
  <c r="G294" i="10"/>
  <c r="I159" i="10"/>
  <c r="C84" i="8" s="1"/>
  <c r="E84" i="8" s="1"/>
  <c r="C42" i="8"/>
  <c r="E42" i="8" s="1"/>
  <c r="I522" i="10"/>
  <c r="I440" i="10"/>
  <c r="I392" i="10"/>
  <c r="I253" i="10"/>
  <c r="I115" i="10"/>
  <c r="J576" i="10"/>
  <c r="I481" i="10"/>
  <c r="C32" i="8" s="1"/>
  <c r="E32" i="8" s="1"/>
  <c r="G440" i="10"/>
  <c r="G349" i="10"/>
  <c r="I214" i="10"/>
  <c r="L214" i="10" s="1"/>
  <c r="I419" i="10"/>
  <c r="C44" i="8" s="1"/>
  <c r="E44" i="8" s="1"/>
  <c r="G308" i="10"/>
  <c r="E538" i="10"/>
  <c r="G538" i="10" s="1"/>
  <c r="I460" i="10"/>
  <c r="I308" i="10"/>
  <c r="G185" i="10"/>
  <c r="G172" i="10"/>
  <c r="G201" i="10"/>
  <c r="I143" i="10"/>
  <c r="C86" i="8" s="1"/>
  <c r="E86" i="8" s="1"/>
  <c r="G378" i="10"/>
  <c r="G460" i="10"/>
  <c r="I407" i="10"/>
  <c r="I267" i="10"/>
  <c r="G143" i="10"/>
  <c r="I128" i="10"/>
  <c r="C88" i="8" s="1"/>
  <c r="E88" i="8" s="1"/>
  <c r="C57" i="8"/>
  <c r="E57" i="8" s="1"/>
  <c r="L335" i="10"/>
  <c r="C90" i="8"/>
  <c r="E90" i="8" s="1"/>
  <c r="L115" i="10"/>
  <c r="G554" i="10"/>
  <c r="I554" i="10"/>
  <c r="L253" i="10"/>
  <c r="C69" i="8"/>
  <c r="E69" i="8" s="1"/>
  <c r="L143" i="10"/>
  <c r="L560" i="10"/>
  <c r="C16" i="8"/>
  <c r="E16" i="8" s="1"/>
  <c r="G533" i="10"/>
  <c r="I533" i="10"/>
  <c r="C67" i="8"/>
  <c r="E67" i="8" s="1"/>
  <c r="L267" i="10"/>
  <c r="L159" i="10"/>
  <c r="L225" i="10"/>
  <c r="C73" i="8"/>
  <c r="E73" i="8" s="1"/>
  <c r="L491" i="10"/>
  <c r="C30" i="8"/>
  <c r="E30" i="8" s="1"/>
  <c r="C46" i="8"/>
  <c r="E46" i="8" s="1"/>
  <c r="L407" i="10"/>
  <c r="C80" i="8"/>
  <c r="E80" i="8" s="1"/>
  <c r="L185" i="10"/>
  <c r="K576" i="10"/>
  <c r="L392" i="10"/>
  <c r="C49" i="8"/>
  <c r="E49" i="8" s="1"/>
  <c r="C61" i="8"/>
  <c r="E61" i="8" s="1"/>
  <c r="L308" i="10"/>
  <c r="C78" i="8"/>
  <c r="E78" i="8" s="1"/>
  <c r="L201" i="10"/>
  <c r="C36" i="8"/>
  <c r="E36" i="8" s="1"/>
  <c r="L460" i="10"/>
  <c r="L440" i="10"/>
  <c r="C40" i="8"/>
  <c r="E40" i="8" s="1"/>
  <c r="C9" i="8"/>
  <c r="E9" i="8" s="1"/>
  <c r="G392" i="10"/>
  <c r="G419" i="10"/>
  <c r="I502" i="10"/>
  <c r="I378" i="10"/>
  <c r="I349" i="10"/>
  <c r="I323" i="10"/>
  <c r="I294" i="10"/>
  <c r="I280" i="10"/>
  <c r="I240" i="10"/>
  <c r="I172" i="10"/>
  <c r="I450" i="10"/>
  <c r="C121" i="8"/>
  <c r="E121" i="8" s="1"/>
  <c r="D4" i="30"/>
  <c r="L512" i="10"/>
  <c r="L574" i="10"/>
  <c r="E541" i="10"/>
  <c r="G541" i="10" s="1"/>
  <c r="E537" i="10"/>
  <c r="G537" i="10" s="1"/>
  <c r="I543" i="10" s="1"/>
  <c r="C117" i="8"/>
  <c r="E117" i="8" s="1"/>
  <c r="D6" i="30"/>
  <c r="G481" i="10"/>
  <c r="L44" i="10"/>
  <c r="E6" i="28"/>
  <c r="E5" i="28" s="1"/>
  <c r="E7" i="28" s="1"/>
  <c r="C101" i="8"/>
  <c r="E101" i="8" s="1"/>
  <c r="E99" i="8"/>
  <c r="C119" i="8"/>
  <c r="E119" i="8" s="1"/>
  <c r="D5" i="30"/>
  <c r="E540" i="10"/>
  <c r="G540" i="10" s="1"/>
  <c r="E7" i="8"/>
  <c r="X26" i="8"/>
  <c r="D92" i="8"/>
  <c r="E92" i="8" s="1"/>
  <c r="E26" i="8"/>
  <c r="F6" i="28"/>
  <c r="F5" i="28" s="1"/>
  <c r="F7" i="28" s="1"/>
  <c r="G5" i="31"/>
  <c r="G7" i="31" s="1"/>
  <c r="H6" i="31"/>
  <c r="O20" i="31"/>
  <c r="O19" i="31" s="1"/>
  <c r="O21" i="31" s="1"/>
  <c r="N19" i="31"/>
  <c r="N21" i="31" s="1"/>
  <c r="O31" i="31" s="1"/>
  <c r="D6" i="26"/>
  <c r="D5" i="26" s="1"/>
  <c r="D7" i="26" s="1"/>
  <c r="E20" i="26"/>
  <c r="D19" i="26"/>
  <c r="D21" i="26" s="1"/>
  <c r="C19" i="26"/>
  <c r="C21" i="26" s="1"/>
  <c r="D19" i="28"/>
  <c r="D21" i="28" s="1"/>
  <c r="E20" i="28"/>
  <c r="C24" i="8" l="1"/>
  <c r="E24" i="8" s="1"/>
  <c r="L522" i="10"/>
  <c r="C75" i="8"/>
  <c r="E75" i="8" s="1"/>
  <c r="C53" i="8"/>
  <c r="E53" i="8" s="1"/>
  <c r="L419" i="10"/>
  <c r="G543" i="10"/>
  <c r="L481" i="10"/>
  <c r="L471" i="10"/>
  <c r="L128" i="10"/>
  <c r="D94" i="8"/>
  <c r="L543" i="10"/>
  <c r="C20" i="8"/>
  <c r="E20" i="8" s="1"/>
  <c r="C82" i="8"/>
  <c r="E82" i="8" s="1"/>
  <c r="L172" i="10"/>
  <c r="C123" i="8"/>
  <c r="L280" i="10"/>
  <c r="C65" i="8"/>
  <c r="E65" i="8" s="1"/>
  <c r="L294" i="10"/>
  <c r="C63" i="8"/>
  <c r="E63" i="8" s="1"/>
  <c r="L502" i="10"/>
  <c r="C28" i="8"/>
  <c r="E28" i="8" s="1"/>
  <c r="L323" i="10"/>
  <c r="C59" i="8"/>
  <c r="E59" i="8" s="1"/>
  <c r="C22" i="8"/>
  <c r="E22" i="8" s="1"/>
  <c r="L533" i="10"/>
  <c r="D54" i="30"/>
  <c r="I6" i="30" s="1"/>
  <c r="I10" i="30" s="1"/>
  <c r="C55" i="8"/>
  <c r="E55" i="8" s="1"/>
  <c r="L349" i="10"/>
  <c r="C38" i="8"/>
  <c r="E38" i="8" s="1"/>
  <c r="L450" i="10"/>
  <c r="L554" i="10"/>
  <c r="C18" i="8"/>
  <c r="L240" i="10"/>
  <c r="C71" i="8"/>
  <c r="E71" i="8" s="1"/>
  <c r="I576" i="10"/>
  <c r="L378" i="10"/>
  <c r="C51" i="8"/>
  <c r="E51" i="8" s="1"/>
  <c r="F94" i="8"/>
  <c r="G123" i="8" s="1"/>
  <c r="G6" i="28"/>
  <c r="G5" i="28" s="1"/>
  <c r="G7" i="28" s="1"/>
  <c r="I6" i="31"/>
  <c r="H5" i="31"/>
  <c r="H7" i="31" s="1"/>
  <c r="E6" i="26"/>
  <c r="E5" i="26" s="1"/>
  <c r="E7" i="26" s="1"/>
  <c r="E19" i="26"/>
  <c r="E21" i="26" s="1"/>
  <c r="F20" i="26"/>
  <c r="F20" i="28"/>
  <c r="E19" i="28"/>
  <c r="E21" i="28" s="1"/>
  <c r="G80" i="8"/>
  <c r="G59" i="8"/>
  <c r="G92" i="8"/>
  <c r="G36" i="8"/>
  <c r="X90" i="8"/>
  <c r="G71" i="8"/>
  <c r="X71" i="8"/>
  <c r="X86" i="8"/>
  <c r="G7" i="8"/>
  <c r="G44" i="8"/>
  <c r="X82" i="8"/>
  <c r="G65" i="8"/>
  <c r="X88" i="8"/>
  <c r="G42" i="8"/>
  <c r="G67" i="8"/>
  <c r="G53" i="8"/>
  <c r="X46" i="8"/>
  <c r="G13" i="8"/>
  <c r="G51" i="8"/>
  <c r="G16" i="8"/>
  <c r="X49" i="8"/>
  <c r="G34" i="8"/>
  <c r="G73" i="8"/>
  <c r="G75" i="8"/>
  <c r="G82" i="8"/>
  <c r="X75" i="8"/>
  <c r="X92" i="8"/>
  <c r="G88" i="8"/>
  <c r="G78" i="8"/>
  <c r="X59" i="8"/>
  <c r="X80" i="8"/>
  <c r="X55" i="8"/>
  <c r="G57" i="8"/>
  <c r="G84" i="8"/>
  <c r="G90" i="8"/>
  <c r="G46" i="8"/>
  <c r="G9" i="8"/>
  <c r="G40" i="8"/>
  <c r="G32" i="8"/>
  <c r="X78" i="8"/>
  <c r="X67" i="8"/>
  <c r="G20" i="8"/>
  <c r="X69" i="8"/>
  <c r="G18" i="8"/>
  <c r="X63" i="8"/>
  <c r="G28" i="8"/>
  <c r="G86" i="8"/>
  <c r="G55" i="8"/>
  <c r="X53" i="8"/>
  <c r="G22" i="8"/>
  <c r="G26" i="8"/>
  <c r="G63" i="8"/>
  <c r="G24" i="8"/>
  <c r="X61" i="8"/>
  <c r="X84" i="8"/>
  <c r="G30" i="8"/>
  <c r="G61" i="8"/>
  <c r="G11" i="8"/>
  <c r="G38" i="8"/>
  <c r="X51" i="8"/>
  <c r="G69" i="8"/>
  <c r="L576" i="10" l="1"/>
  <c r="H6" i="28"/>
  <c r="C94" i="8"/>
  <c r="E18" i="8"/>
  <c r="E94" i="8" s="1"/>
  <c r="E123" i="8" s="1"/>
  <c r="E132" i="8" s="1"/>
  <c r="J143" i="8"/>
  <c r="J6" i="31"/>
  <c r="I5" i="31"/>
  <c r="I7" i="31" s="1"/>
  <c r="F6" i="26"/>
  <c r="F5" i="26" s="1"/>
  <c r="F7" i="26" s="1"/>
  <c r="G20" i="26"/>
  <c r="F19" i="26"/>
  <c r="F21" i="26" s="1"/>
  <c r="G20" i="28"/>
  <c r="F19" i="28"/>
  <c r="F21" i="28" s="1"/>
  <c r="H5" i="28"/>
  <c r="H7" i="28" s="1"/>
  <c r="I6" i="28"/>
  <c r="L166" i="8" l="1"/>
  <c r="K143" i="8"/>
  <c r="J142" i="8"/>
  <c r="G94" i="8"/>
  <c r="K6" i="31"/>
  <c r="J5" i="31"/>
  <c r="J7" i="31" s="1"/>
  <c r="G6" i="26"/>
  <c r="G5" i="26" s="1"/>
  <c r="G7" i="26" s="1"/>
  <c r="H20" i="26"/>
  <c r="G19" i="26"/>
  <c r="G21" i="26" s="1"/>
  <c r="G19" i="28"/>
  <c r="G21" i="28" s="1"/>
  <c r="H20" i="28"/>
  <c r="J6" i="28"/>
  <c r="I5" i="28"/>
  <c r="I7" i="28" s="1"/>
  <c r="J150" i="8"/>
  <c r="J144" i="8" l="1"/>
  <c r="J166" i="8" s="1"/>
  <c r="K166" i="8"/>
  <c r="K149" i="8"/>
  <c r="J167" i="8"/>
  <c r="K148" i="8"/>
  <c r="K142" i="8"/>
  <c r="K5" i="31"/>
  <c r="K7" i="31" s="1"/>
  <c r="L6" i="31"/>
  <c r="H6" i="26"/>
  <c r="H5" i="26" s="1"/>
  <c r="H7" i="26" s="1"/>
  <c r="H19" i="26"/>
  <c r="H21" i="26" s="1"/>
  <c r="I20" i="26"/>
  <c r="H19" i="28"/>
  <c r="H21" i="28" s="1"/>
  <c r="I20" i="28"/>
  <c r="K6" i="28"/>
  <c r="J5" i="28"/>
  <c r="J7" i="28" s="1"/>
  <c r="K170" i="8" l="1"/>
  <c r="N166" i="8"/>
  <c r="M167" i="8"/>
  <c r="K144" i="8"/>
  <c r="M166" i="8"/>
  <c r="J170" i="8"/>
  <c r="B4" i="38" s="1"/>
  <c r="K150" i="8"/>
  <c r="L5" i="31"/>
  <c r="L7" i="31" s="1"/>
  <c r="M6" i="31"/>
  <c r="I6" i="26"/>
  <c r="I5" i="26" s="1"/>
  <c r="I7" i="26" s="1"/>
  <c r="J20" i="26"/>
  <c r="I19" i="26"/>
  <c r="I21" i="26" s="1"/>
  <c r="J20" i="28"/>
  <c r="I19" i="28"/>
  <c r="I21" i="28" s="1"/>
  <c r="K5" i="28"/>
  <c r="K7" i="28" s="1"/>
  <c r="L6" i="28"/>
  <c r="B18" i="38" l="1"/>
  <c r="C4" i="38"/>
  <c r="D4" i="38" s="1"/>
  <c r="E4" i="38" s="1"/>
  <c r="N170" i="8"/>
  <c r="N6" i="31"/>
  <c r="M5" i="31"/>
  <c r="M7" i="31" s="1"/>
  <c r="J6" i="26"/>
  <c r="K6" i="26" s="1"/>
  <c r="J19" i="26"/>
  <c r="J21" i="26" s="1"/>
  <c r="K20" i="26"/>
  <c r="J19" i="28"/>
  <c r="J21" i="28" s="1"/>
  <c r="K20" i="28"/>
  <c r="M6" i="28"/>
  <c r="L5" i="28"/>
  <c r="L7" i="28" s="1"/>
  <c r="C18" i="38" l="1"/>
  <c r="C19" i="38" s="1"/>
  <c r="C21" i="38" s="1"/>
  <c r="F4" i="38"/>
  <c r="G4" i="38" s="1"/>
  <c r="E18" i="38"/>
  <c r="E19" i="38" s="1"/>
  <c r="E21" i="38" s="1"/>
  <c r="N5" i="31"/>
  <c r="N7" i="31" s="1"/>
  <c r="O6" i="31"/>
  <c r="O5" i="31" s="1"/>
  <c r="O7" i="31" s="1"/>
  <c r="J5" i="26"/>
  <c r="J7" i="26" s="1"/>
  <c r="L6" i="26"/>
  <c r="K5" i="26"/>
  <c r="K7" i="26" s="1"/>
  <c r="L20" i="26"/>
  <c r="K19" i="26"/>
  <c r="K21" i="26" s="1"/>
  <c r="K19" i="28"/>
  <c r="K21" i="28" s="1"/>
  <c r="L20" i="28"/>
  <c r="N6" i="28"/>
  <c r="M5" i="28"/>
  <c r="M7" i="28" s="1"/>
  <c r="F18" i="38" l="1"/>
  <c r="F19" i="38" s="1"/>
  <c r="F21" i="38" s="1"/>
  <c r="H4" i="38"/>
  <c r="G18" i="38"/>
  <c r="G19" i="38" s="1"/>
  <c r="G21" i="38" s="1"/>
  <c r="M6" i="26"/>
  <c r="L5" i="26"/>
  <c r="L7" i="26" s="1"/>
  <c r="L19" i="26"/>
  <c r="L21" i="26" s="1"/>
  <c r="M20" i="26"/>
  <c r="M20" i="28"/>
  <c r="L19" i="28"/>
  <c r="L21" i="28" s="1"/>
  <c r="O6" i="28"/>
  <c r="N5" i="28"/>
  <c r="N7" i="28" s="1"/>
  <c r="H18" i="38" l="1"/>
  <c r="H19" i="38" s="1"/>
  <c r="H21" i="38" s="1"/>
  <c r="I4" i="38"/>
  <c r="L170" i="8"/>
  <c r="O5" i="28"/>
  <c r="O7" i="28" s="1"/>
  <c r="K34" i="28"/>
  <c r="M5" i="26"/>
  <c r="M7" i="26" s="1"/>
  <c r="N6" i="26"/>
  <c r="N20" i="26"/>
  <c r="M19" i="26"/>
  <c r="M21" i="26" s="1"/>
  <c r="N20" i="28"/>
  <c r="M19" i="28"/>
  <c r="M21" i="28" s="1"/>
  <c r="I18" i="38" l="1"/>
  <c r="I19" i="38" s="1"/>
  <c r="I21" i="38" s="1"/>
  <c r="J4" i="38"/>
  <c r="C6" i="38"/>
  <c r="C5" i="38" s="1"/>
  <c r="C7" i="38" s="1"/>
  <c r="D18" i="38"/>
  <c r="D19" i="38" s="1"/>
  <c r="D21" i="38" s="1"/>
  <c r="N5" i="26"/>
  <c r="N7" i="26" s="1"/>
  <c r="O6" i="26"/>
  <c r="O5" i="26" s="1"/>
  <c r="O7" i="26" s="1"/>
  <c r="N19" i="26"/>
  <c r="N21" i="26" s="1"/>
  <c r="O31" i="26" s="1"/>
  <c r="O20" i="26"/>
  <c r="O19" i="26" s="1"/>
  <c r="O21" i="26" s="1"/>
  <c r="N19" i="28"/>
  <c r="N21" i="28" s="1"/>
  <c r="O31" i="28" s="1"/>
  <c r="O20" i="28"/>
  <c r="O19" i="28" s="1"/>
  <c r="O21" i="28" s="1"/>
  <c r="K4" i="38" l="1"/>
  <c r="J18" i="38"/>
  <c r="J19" i="38" s="1"/>
  <c r="J21" i="38" s="1"/>
  <c r="D6" i="38"/>
  <c r="D5" i="38" s="1"/>
  <c r="D7" i="38" s="1"/>
  <c r="L4" i="38" l="1"/>
  <c r="K18" i="38"/>
  <c r="K19" i="38" s="1"/>
  <c r="K21" i="38" s="1"/>
  <c r="E6" i="38"/>
  <c r="E5" i="38" s="1"/>
  <c r="E7" i="38" s="1"/>
  <c r="F6" i="38" l="1"/>
  <c r="G6" i="38" s="1"/>
  <c r="M4" i="38"/>
  <c r="L18" i="38"/>
  <c r="L19" i="38" s="1"/>
  <c r="L21" i="38" s="1"/>
  <c r="F5" i="38" l="1"/>
  <c r="F7" i="38" s="1"/>
  <c r="M18" i="38"/>
  <c r="M19" i="38" s="1"/>
  <c r="M21" i="38" s="1"/>
  <c r="N4" i="38"/>
  <c r="G5" i="38"/>
  <c r="G7" i="38" s="1"/>
  <c r="H6" i="38"/>
  <c r="O4" i="38" l="1"/>
  <c r="O18" i="38" s="1"/>
  <c r="O19" i="38" s="1"/>
  <c r="O21" i="38" s="1"/>
  <c r="N18" i="38"/>
  <c r="N19" i="38" s="1"/>
  <c r="N21" i="38" s="1"/>
  <c r="O31" i="38" s="1"/>
  <c r="H5" i="38"/>
  <c r="H7" i="38" s="1"/>
  <c r="I6" i="38"/>
  <c r="J6" i="38" l="1"/>
  <c r="I5" i="38"/>
  <c r="I7" i="38" s="1"/>
  <c r="J5" i="38" l="1"/>
  <c r="J7" i="38" s="1"/>
  <c r="K6" i="38"/>
  <c r="K5" i="38" l="1"/>
  <c r="K7" i="38" s="1"/>
  <c r="L6" i="38"/>
  <c r="L5" i="38" l="1"/>
  <c r="L7" i="38" s="1"/>
  <c r="M6" i="38"/>
  <c r="N6" i="38" l="1"/>
  <c r="M5" i="38"/>
  <c r="M7" i="38" s="1"/>
  <c r="O6" i="38" l="1"/>
  <c r="O5" i="38" s="1"/>
  <c r="O7" i="38" s="1"/>
  <c r="N5" i="38"/>
  <c r="N7" i="38" s="1"/>
</calcChain>
</file>

<file path=xl/sharedStrings.xml><?xml version="1.0" encoding="utf-8"?>
<sst xmlns="http://schemas.openxmlformats.org/spreadsheetml/2006/main" count="2363" uniqueCount="617">
  <si>
    <t>PH 3</t>
  </si>
  <si>
    <t>PH 2</t>
  </si>
  <si>
    <t>PH 1</t>
  </si>
  <si>
    <t>RETAIL</t>
  </si>
  <si>
    <t>B1</t>
  </si>
  <si>
    <t>VACANT</t>
  </si>
  <si>
    <t>FLOOR</t>
  </si>
  <si>
    <t>A</t>
  </si>
  <si>
    <t>B</t>
  </si>
  <si>
    <t>C</t>
  </si>
  <si>
    <t>D</t>
  </si>
  <si>
    <t>E</t>
  </si>
  <si>
    <t>F</t>
  </si>
  <si>
    <t>G</t>
  </si>
  <si>
    <t>Building Mgt</t>
  </si>
  <si>
    <t>JASMINE ROOM</t>
  </si>
  <si>
    <t>TOTAL OFFICE</t>
  </si>
  <si>
    <t>TOTAL</t>
  </si>
  <si>
    <t>OCCUPIED</t>
  </si>
  <si>
    <t>TENANT  THE ENERGY  (OFFICE ZONE)</t>
  </si>
  <si>
    <t>FLOOR STAKE TENANT</t>
  </si>
  <si>
    <t>The Energy Building</t>
  </si>
  <si>
    <t>GUDANG</t>
  </si>
  <si>
    <t>PH 4</t>
  </si>
  <si>
    <t>%</t>
  </si>
  <si>
    <t>Medco Exploration &amp; Production Indonesia</t>
  </si>
  <si>
    <t xml:space="preserve"> ZICOLAW INDONESIA</t>
  </si>
  <si>
    <t>AON</t>
  </si>
  <si>
    <t>MEPI</t>
  </si>
  <si>
    <t>SAKA</t>
  </si>
  <si>
    <t>T1</t>
  </si>
  <si>
    <t>T2</t>
  </si>
  <si>
    <t>T3</t>
  </si>
  <si>
    <t>PENTHOUSE</t>
  </si>
  <si>
    <t>XLIII</t>
  </si>
  <si>
    <t>semigross</t>
  </si>
  <si>
    <t>total common area</t>
  </si>
  <si>
    <t>total useable</t>
  </si>
  <si>
    <t>useable</t>
  </si>
  <si>
    <t>ruang</t>
  </si>
  <si>
    <t>lantai</t>
  </si>
  <si>
    <t>XLII</t>
  </si>
  <si>
    <t>XLI</t>
  </si>
  <si>
    <t>HALL PENTHOUSE</t>
  </si>
  <si>
    <t>KANTOR</t>
  </si>
  <si>
    <t>XL</t>
  </si>
  <si>
    <t>RAK IT</t>
  </si>
  <si>
    <t>highrise</t>
  </si>
  <si>
    <t>XXXIX</t>
  </si>
  <si>
    <t xml:space="preserve"> </t>
  </si>
  <si>
    <t>XXXVIII</t>
  </si>
  <si>
    <t>XXXVII</t>
  </si>
  <si>
    <t>XXXVI</t>
  </si>
  <si>
    <t>XXXV</t>
  </si>
  <si>
    <t>XXXIV</t>
  </si>
  <si>
    <t>XXXIII</t>
  </si>
  <si>
    <t>XXXII</t>
  </si>
  <si>
    <t>XXXI</t>
  </si>
  <si>
    <t>XXX</t>
  </si>
  <si>
    <t>XXIX</t>
  </si>
  <si>
    <t>XXVIII</t>
  </si>
  <si>
    <t>XXVII</t>
  </si>
  <si>
    <t>XXVI</t>
  </si>
  <si>
    <t>connecting )</t>
  </si>
  <si>
    <t>( tangga</t>
  </si>
  <si>
    <t>XXV</t>
  </si>
  <si>
    <t>midrise</t>
  </si>
  <si>
    <t>XXIV</t>
  </si>
  <si>
    <t>XXIII</t>
  </si>
  <si>
    <t>XXII</t>
  </si>
  <si>
    <t>XXI</t>
  </si>
  <si>
    <t>XX</t>
  </si>
  <si>
    <t>XIX</t>
  </si>
  <si>
    <t>XVIII</t>
  </si>
  <si>
    <t>XVII</t>
  </si>
  <si>
    <t>XVI</t>
  </si>
  <si>
    <t>XV</t>
  </si>
  <si>
    <t>XIV</t>
  </si>
  <si>
    <t>XIII</t>
  </si>
  <si>
    <t>XII</t>
  </si>
  <si>
    <t>XI</t>
  </si>
  <si>
    <t>lowrise</t>
  </si>
  <si>
    <t>X</t>
  </si>
  <si>
    <t>IX</t>
  </si>
  <si>
    <t>VIII</t>
  </si>
  <si>
    <t>corridor</t>
  </si>
  <si>
    <t>VII</t>
  </si>
  <si>
    <t>total common</t>
  </si>
  <si>
    <t>nett</t>
  </si>
  <si>
    <t>VI</t>
  </si>
  <si>
    <t>V</t>
  </si>
  <si>
    <t>CONTROL ROOM</t>
  </si>
  <si>
    <t>DATA CENTRE MEPI</t>
  </si>
  <si>
    <t>DATA CENTRE STAGE III</t>
  </si>
  <si>
    <t>DATA CENTRE STAGE I&amp;II</t>
  </si>
  <si>
    <t>IV</t>
  </si>
  <si>
    <t>GUDANG (net)</t>
  </si>
  <si>
    <t>OFFICE (semigross)</t>
  </si>
  <si>
    <t>MARKETING LOUNGE</t>
  </si>
  <si>
    <t>SOEHANNA HALL</t>
  </si>
  <si>
    <t>III</t>
  </si>
  <si>
    <t xml:space="preserve">Total </t>
  </si>
  <si>
    <t>Gudang</t>
  </si>
  <si>
    <t>Marketing Lounge</t>
  </si>
  <si>
    <t>Soehanna Hall</t>
  </si>
  <si>
    <t>Zone</t>
  </si>
  <si>
    <t>COUNTER C</t>
  </si>
  <si>
    <t>COUNTER B</t>
  </si>
  <si>
    <t>COUNTER A</t>
  </si>
  <si>
    <t>MZ</t>
  </si>
  <si>
    <t>II</t>
  </si>
  <si>
    <t>Total</t>
  </si>
  <si>
    <t>Counter</t>
  </si>
  <si>
    <t>ATM CENTER</t>
  </si>
  <si>
    <t>GF</t>
  </si>
  <si>
    <t>I</t>
  </si>
  <si>
    <t>ATM Center</t>
  </si>
  <si>
    <t>MAIL ROOM</t>
  </si>
  <si>
    <t>KLINIK</t>
  </si>
  <si>
    <t>RETAIL 3</t>
  </si>
  <si>
    <t>RETAIL 2</t>
  </si>
  <si>
    <t>RETAIL 1</t>
  </si>
  <si>
    <t>COUNTER FC 12</t>
  </si>
  <si>
    <t>COUNTER FC 11</t>
  </si>
  <si>
    <t>COUNTER FC 10</t>
  </si>
  <si>
    <t>COUNTER FC 9</t>
  </si>
  <si>
    <t>COUNTER FC 8</t>
  </si>
  <si>
    <t>COUNTER FC 7</t>
  </si>
  <si>
    <t>COUNTER FC 6</t>
  </si>
  <si>
    <t>COUNTER FC 5</t>
  </si>
  <si>
    <t>COUNTER FC 4</t>
  </si>
  <si>
    <t>COUNTER FC 3</t>
  </si>
  <si>
    <t>COUNTER FC 2</t>
  </si>
  <si>
    <t>BASEMENT 1</t>
  </si>
  <si>
    <t>COUNTER FC 1</t>
  </si>
  <si>
    <t>B I</t>
  </si>
  <si>
    <t>Mail Room</t>
  </si>
  <si>
    <t>Klinik</t>
  </si>
  <si>
    <t>Retail</t>
  </si>
  <si>
    <t>Counter FC</t>
  </si>
  <si>
    <t>KANTIN</t>
  </si>
  <si>
    <t>BASEMENT 2</t>
  </si>
  <si>
    <t>B II</t>
  </si>
  <si>
    <t>Kantin</t>
  </si>
  <si>
    <t>BASEMENT 3</t>
  </si>
  <si>
    <t>B III</t>
  </si>
  <si>
    <t>BASEMENT 4</t>
  </si>
  <si>
    <t>B IV</t>
  </si>
  <si>
    <t>BASEMENT 5</t>
  </si>
  <si>
    <t>B V</t>
  </si>
  <si>
    <t>SEMIGROSS OFFICE
(linked to BOMA)</t>
  </si>
  <si>
    <t>Ginting</t>
  </si>
  <si>
    <t>Widyawan</t>
  </si>
  <si>
    <t>JPM</t>
  </si>
  <si>
    <t>Vacant</t>
  </si>
  <si>
    <t>TOTAL STORAGE</t>
  </si>
  <si>
    <t>STORAGE AREA (OFFICE TOWER)</t>
  </si>
  <si>
    <t>VACANT OFFICE</t>
  </si>
  <si>
    <t>VACANT STORAGE</t>
  </si>
  <si>
    <t>m²</t>
  </si>
  <si>
    <t>UNDER OFFERED</t>
  </si>
  <si>
    <t>Medco Energi Internasional, Tbk.</t>
  </si>
  <si>
    <t>Medco Power Indonesia</t>
  </si>
  <si>
    <t>PT. AON Indonesia</t>
  </si>
  <si>
    <t>Job Pertamina Simenggaris</t>
  </si>
  <si>
    <t>Korea Agro</t>
  </si>
  <si>
    <t>Ginting &amp; Reksodiputro Law Firm</t>
  </si>
  <si>
    <t>JP Morgan Securities Indonesia</t>
  </si>
  <si>
    <t>JP Morgan Chase Bank</t>
  </si>
  <si>
    <t>Control Room</t>
  </si>
  <si>
    <t>Data Center</t>
  </si>
  <si>
    <t>BNI</t>
  </si>
  <si>
    <t>Mandiri</t>
  </si>
  <si>
    <t>Woori Saudara</t>
  </si>
  <si>
    <t>Difference w/ BOMA</t>
  </si>
  <si>
    <t>T4</t>
  </si>
  <si>
    <t>Facilities</t>
  </si>
  <si>
    <t>Office</t>
  </si>
  <si>
    <t>Floor</t>
  </si>
  <si>
    <t>IDR</t>
  </si>
  <si>
    <t>USD</t>
  </si>
  <si>
    <t>Widyawan &amp; Partners</t>
  </si>
  <si>
    <t>JOB Pertamina Simenggaris</t>
  </si>
  <si>
    <t>PT. Sri Rejeki Isman</t>
  </si>
  <si>
    <t>Floorstake ver</t>
  </si>
  <si>
    <t>Occupancy Rate</t>
  </si>
  <si>
    <t>VALE</t>
  </si>
  <si>
    <t>CFLD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</si>
  <si>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</si>
  <si>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</si>
  <si>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</si>
  <si>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</si>
  <si>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</si>
  <si>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</si>
  <si>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</si>
  <si>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</si>
  <si>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</si>
  <si>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</si>
  <si>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</si>
  <si>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</si>
  <si>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Space</t>
  </si>
  <si>
    <t>Space occupied</t>
  </si>
  <si>
    <t>Space Vacant</t>
  </si>
  <si>
    <t>Occ Rate</t>
  </si>
  <si>
    <t>tenant out</t>
  </si>
  <si>
    <t>TENANT IN</t>
  </si>
  <si>
    <t>RENTABLE SPACE</t>
  </si>
  <si>
    <t>NO</t>
  </si>
  <si>
    <t>ZONE</t>
  </si>
  <si>
    <t>sqm</t>
  </si>
  <si>
    <t>PROSPECTUS</t>
  </si>
  <si>
    <t>TOTAL UNDER OFFER / PROSPECTUS</t>
  </si>
  <si>
    <t>OUTLOOK LOSS</t>
  </si>
  <si>
    <t>OUTLOOK BALANCE</t>
  </si>
  <si>
    <t>Samsung</t>
  </si>
  <si>
    <t>Easecox</t>
  </si>
  <si>
    <t>Dewi Negara</t>
  </si>
  <si>
    <t>ACCA</t>
  </si>
  <si>
    <t>LINE</t>
  </si>
  <si>
    <t>total in</t>
  </si>
  <si>
    <t>total loss</t>
  </si>
  <si>
    <t>Note</t>
  </si>
  <si>
    <t>ISMAYA</t>
  </si>
  <si>
    <t>AMMAN</t>
  </si>
  <si>
    <t>INALUM</t>
  </si>
  <si>
    <t>G2</t>
  </si>
  <si>
    <t>Tricore Capital</t>
  </si>
  <si>
    <t>All</t>
  </si>
  <si>
    <t>UNDER OFFER / RESERVED</t>
  </si>
  <si>
    <t>BUSINESS PIPELINE</t>
  </si>
  <si>
    <t>CUSTOMERS</t>
  </si>
  <si>
    <t>Medco Riau</t>
  </si>
  <si>
    <t xml:space="preserve">Widyawan &amp; Partners </t>
  </si>
  <si>
    <t>Green Energy</t>
  </si>
  <si>
    <t>data per</t>
  </si>
  <si>
    <t>Macmahon Indonesia</t>
  </si>
  <si>
    <t>A,B,C</t>
  </si>
  <si>
    <t>704,57</t>
  </si>
  <si>
    <t>AMMIN</t>
  </si>
  <si>
    <t>TENANCY OFFICE  DATA</t>
  </si>
  <si>
    <t>no</t>
  </si>
  <si>
    <t>Tenant</t>
  </si>
  <si>
    <t>Business line</t>
  </si>
  <si>
    <t>Area</t>
  </si>
  <si>
    <t>Lease Expire Date</t>
  </si>
  <si>
    <t>Rental Rate</t>
  </si>
  <si>
    <t>Origin</t>
  </si>
  <si>
    <t>currency</t>
  </si>
  <si>
    <t>rate</t>
  </si>
  <si>
    <t>Medco Energi International</t>
  </si>
  <si>
    <t>Energy - oil &amp; gas</t>
  </si>
  <si>
    <t>Indonesia</t>
  </si>
  <si>
    <t>Law Firm</t>
  </si>
  <si>
    <t>D,E,F,G</t>
  </si>
  <si>
    <t>Medco Gas Indonesia</t>
  </si>
  <si>
    <t>51 (28)</t>
  </si>
  <si>
    <t>A,B</t>
  </si>
  <si>
    <t>Amman</t>
  </si>
  <si>
    <t>Medco Energy Mining</t>
  </si>
  <si>
    <t>D,E,F</t>
  </si>
  <si>
    <t>BUT Sarulla</t>
  </si>
  <si>
    <t>Energy - others</t>
  </si>
  <si>
    <t>F,G,A,B,C</t>
  </si>
  <si>
    <t>Construction</t>
  </si>
  <si>
    <t>China</t>
  </si>
  <si>
    <t>Retail office</t>
  </si>
  <si>
    <t>Taiwan</t>
  </si>
  <si>
    <t>G,A,B</t>
  </si>
  <si>
    <t>C,D,E,F</t>
  </si>
  <si>
    <t>Posco Daewoo International</t>
  </si>
  <si>
    <t>Manufacture</t>
  </si>
  <si>
    <t>Korea</t>
  </si>
  <si>
    <t>Zicolaw Indonesia</t>
  </si>
  <si>
    <t>Brasil</t>
  </si>
  <si>
    <t>Indonesia Infrastructure Finance</t>
  </si>
  <si>
    <t>Energy</t>
  </si>
  <si>
    <t>B,C,D,</t>
  </si>
  <si>
    <t xml:space="preserve">F </t>
  </si>
  <si>
    <t>Bahtera Perkasa Kapital</t>
  </si>
  <si>
    <t>Finance</t>
  </si>
  <si>
    <t>Griya Proteksi Nusantara</t>
  </si>
  <si>
    <t>Teladan Anugrah</t>
  </si>
  <si>
    <t>Finance Invest</t>
  </si>
  <si>
    <t>Teradata Indonesia</t>
  </si>
  <si>
    <t>IT</t>
  </si>
  <si>
    <t>C,D,E,F,G</t>
  </si>
  <si>
    <t>AON Indonesia</t>
  </si>
  <si>
    <t>Insurance</t>
  </si>
  <si>
    <t>Amerika</t>
  </si>
  <si>
    <t>E,F,G,A</t>
  </si>
  <si>
    <t>Mining</t>
  </si>
  <si>
    <t>Australia</t>
  </si>
  <si>
    <t>Kakiatna Indonesia</t>
  </si>
  <si>
    <t>FH Management</t>
  </si>
  <si>
    <t>Hongkong</t>
  </si>
  <si>
    <t>Lotte Engineering</t>
  </si>
  <si>
    <t xml:space="preserve">G </t>
  </si>
  <si>
    <t>CAP Asia</t>
  </si>
  <si>
    <t>Singapore</t>
  </si>
  <si>
    <t>A,B,C,D</t>
  </si>
  <si>
    <t xml:space="preserve">Telkomsel </t>
  </si>
  <si>
    <t>B,C</t>
  </si>
  <si>
    <t>SriTex</t>
  </si>
  <si>
    <t>Tekstil</t>
  </si>
  <si>
    <t>Agribusiness</t>
  </si>
  <si>
    <t>Global Resources</t>
  </si>
  <si>
    <t>G,A,B,C</t>
  </si>
  <si>
    <t>Inalum</t>
  </si>
  <si>
    <t>SAKA Energi</t>
  </si>
  <si>
    <t xml:space="preserve">Sadhana </t>
  </si>
  <si>
    <t>Starmas - cimb niaga</t>
  </si>
  <si>
    <t>LINE Indonesia</t>
  </si>
  <si>
    <t>MID Asia Capital</t>
  </si>
  <si>
    <t>694,5</t>
  </si>
  <si>
    <t xml:space="preserve">Ginting Reksodiputro </t>
  </si>
  <si>
    <t>Affinity Equity</t>
  </si>
  <si>
    <t>Inggris</t>
  </si>
  <si>
    <t>ACCORNS</t>
  </si>
  <si>
    <t>Bank Woori Saudara</t>
  </si>
  <si>
    <t>Api Metra Graha</t>
  </si>
  <si>
    <t>JP Morgan Chase</t>
  </si>
  <si>
    <t xml:space="preserve">Retail  </t>
  </si>
  <si>
    <t>sqm out</t>
  </si>
  <si>
    <t>sqm in</t>
  </si>
  <si>
    <t>AMG</t>
  </si>
  <si>
    <t>MEPN</t>
  </si>
  <si>
    <t>KSO umbulan</t>
  </si>
  <si>
    <t>MPI</t>
  </si>
  <si>
    <t>SARULLA</t>
  </si>
  <si>
    <t>MEI</t>
  </si>
  <si>
    <t>AMMAN - AMMIN - MDAL</t>
  </si>
  <si>
    <t>THUNDERBIRD</t>
  </si>
  <si>
    <t>Medco Mining Indonesia</t>
  </si>
  <si>
    <t>Vacant Zona A B</t>
  </si>
  <si>
    <t xml:space="preserve">   </t>
  </si>
  <si>
    <t>Vacant Zona E</t>
  </si>
  <si>
    <t xml:space="preserve">Average </t>
  </si>
  <si>
    <t>Vacant Zona F</t>
  </si>
  <si>
    <t>Vacant Zona G</t>
  </si>
  <si>
    <t>samsung</t>
  </si>
  <si>
    <t>FH Mgmt</t>
  </si>
  <si>
    <t>GS Global</t>
  </si>
  <si>
    <t>Sritex</t>
  </si>
  <si>
    <t xml:space="preserve">Affinity </t>
  </si>
  <si>
    <t>JAN '22</t>
  </si>
  <si>
    <t>2021 OUTLOOK</t>
  </si>
  <si>
    <t>MacMahon</t>
  </si>
  <si>
    <t>Anugerah Tirta</t>
  </si>
  <si>
    <t>Rocpool</t>
  </si>
  <si>
    <t>RAIZ INVEST</t>
  </si>
  <si>
    <t>Astra Nawa</t>
  </si>
  <si>
    <t>VALE EXTND</t>
  </si>
  <si>
    <t>Dec '20</t>
  </si>
  <si>
    <t>ATG</t>
  </si>
  <si>
    <t>JP Morgan</t>
  </si>
  <si>
    <t>Mr Fox</t>
  </si>
  <si>
    <t>BWS</t>
  </si>
  <si>
    <t>2 fl : Marketing lounge</t>
  </si>
  <si>
    <t>B2 : office AMUZ</t>
  </si>
  <si>
    <t>tidak tercantum dalam Floorstake</t>
  </si>
  <si>
    <t>MZ wing + pc</t>
  </si>
  <si>
    <t>STORAGE</t>
  </si>
  <si>
    <t>FACILITIES</t>
  </si>
  <si>
    <t>B2</t>
  </si>
  <si>
    <t>B3</t>
  </si>
  <si>
    <t>OFFICE</t>
  </si>
  <si>
    <t>B4</t>
  </si>
  <si>
    <t>Leasable area</t>
  </si>
  <si>
    <t>B5</t>
  </si>
  <si>
    <t>SUMMARY</t>
  </si>
  <si>
    <t xml:space="preserve">Retail </t>
  </si>
  <si>
    <t>Lantai</t>
  </si>
  <si>
    <t>Astranawa Grup</t>
  </si>
  <si>
    <t>Vacant Zona D</t>
  </si>
  <si>
    <t>AstraNawa</t>
  </si>
  <si>
    <t>Zicolaw</t>
  </si>
  <si>
    <t>JAN '23</t>
  </si>
  <si>
    <t>2022 OUTLOOK</t>
  </si>
  <si>
    <t>MIND ID</t>
  </si>
  <si>
    <t>Vacant Zona D E F</t>
  </si>
  <si>
    <t>ADPMET</t>
  </si>
  <si>
    <t>Max power</t>
  </si>
  <si>
    <t>DKM</t>
  </si>
  <si>
    <t xml:space="preserve">Vacant  </t>
  </si>
  <si>
    <t>Pandor</t>
  </si>
  <si>
    <t>Vacant Zona B,C,D</t>
  </si>
  <si>
    <t>Corridor</t>
  </si>
  <si>
    <t>JAN '24</t>
  </si>
  <si>
    <t>2023 OUTLOOK</t>
  </si>
  <si>
    <t>Mind ID</t>
  </si>
  <si>
    <t>Corridor 23</t>
  </si>
  <si>
    <t>Corridor 11</t>
  </si>
  <si>
    <t>Corridor 12</t>
  </si>
  <si>
    <t>Job</t>
  </si>
  <si>
    <t xml:space="preserve">Zicolaw </t>
  </si>
  <si>
    <t>-1.4</t>
  </si>
  <si>
    <t xml:space="preserve">Widyawan </t>
  </si>
  <si>
    <t>-0.4</t>
  </si>
  <si>
    <t>-0.3</t>
  </si>
  <si>
    <t>: Data sesuai dengan tabel di Legal</t>
  </si>
  <si>
    <t>: Storage Available</t>
  </si>
  <si>
    <t>: Belum diketahui available atau tidak</t>
  </si>
  <si>
    <t>: Data dari 2017, tidak diketahui luasan dan ditempatinya sudah sesuai atau tidak</t>
  </si>
  <si>
    <t xml:space="preserve">                                                                TOTAL</t>
  </si>
  <si>
    <t>1 lantai</t>
  </si>
  <si>
    <t xml:space="preserve"> - GUDANG 2</t>
  </si>
  <si>
    <t xml:space="preserve"> - GUDANG 1</t>
  </si>
  <si>
    <t>LANTAI 28</t>
  </si>
  <si>
    <t>LANTAI 27</t>
  </si>
  <si>
    <t>Aon</t>
  </si>
  <si>
    <t>Belum diketahui</t>
  </si>
  <si>
    <t>LANTAI 26</t>
  </si>
  <si>
    <t>LANTAI 25</t>
  </si>
  <si>
    <t>Belum Diketahui</t>
  </si>
  <si>
    <t>LANTAI 23</t>
  </si>
  <si>
    <t>Saka</t>
  </si>
  <si>
    <t>Available</t>
  </si>
  <si>
    <t>LANTAI 21</t>
  </si>
  <si>
    <t>LANTAI 20</t>
  </si>
  <si>
    <t>LANTAI 19</t>
  </si>
  <si>
    <t>LANTAI 17</t>
  </si>
  <si>
    <t>Line</t>
  </si>
  <si>
    <t>LANTAI 16</t>
  </si>
  <si>
    <t>LANTAI 15</t>
  </si>
  <si>
    <t>LANTAI 11</t>
  </si>
  <si>
    <t>KETERANGAN</t>
  </si>
  <si>
    <t>PERIODE SEWA</t>
  </si>
  <si>
    <t>RATE</t>
  </si>
  <si>
    <t>LUASAN/ M2</t>
  </si>
  <si>
    <t>RUANG</t>
  </si>
  <si>
    <t>LANTAI</t>
  </si>
  <si>
    <t>38.74 M2</t>
  </si>
  <si>
    <t xml:space="preserve"> - GUDANG 4</t>
  </si>
  <si>
    <t xml:space="preserve"> - GUDANG 3</t>
  </si>
  <si>
    <t>LANTAI 10</t>
  </si>
  <si>
    <t xml:space="preserve">AMG </t>
  </si>
  <si>
    <t>LANTAI 9</t>
  </si>
  <si>
    <t>Widyawan &amp; partners</t>
  </si>
  <si>
    <t>LANTAI 8</t>
  </si>
  <si>
    <t xml:space="preserve">Medco Power </t>
  </si>
  <si>
    <t>Availabble</t>
  </si>
  <si>
    <t>LANTAI 7</t>
  </si>
  <si>
    <t>LANTAI 6</t>
  </si>
  <si>
    <t>LANTAI 5</t>
  </si>
  <si>
    <t>Gudang kosong kunci tidak tersedia</t>
  </si>
  <si>
    <t>LANTAI 3</t>
  </si>
  <si>
    <t>Gudang digunakan SH</t>
  </si>
  <si>
    <t xml:space="preserve"> - GUDANG  FUNCTION HALL</t>
  </si>
  <si>
    <t>Gudang Amuz kunci tidak tersedia</t>
  </si>
  <si>
    <t>17.70</t>
  </si>
  <si>
    <t>Kantor kerja Amuz</t>
  </si>
  <si>
    <t>24.3</t>
  </si>
  <si>
    <t xml:space="preserve">Gudang Amuz </t>
  </si>
  <si>
    <t>28.9</t>
  </si>
  <si>
    <t>LANTAI 2</t>
  </si>
  <si>
    <t xml:space="preserve">Gudang AMG </t>
  </si>
  <si>
    <t>MEZZANINE</t>
  </si>
  <si>
    <t>gudang masjid kunci tersedia</t>
  </si>
  <si>
    <t xml:space="preserve"> - GUDANG Masjid</t>
  </si>
  <si>
    <t>penyimpanan papan evacuation dll</t>
  </si>
  <si>
    <t>gudang penyimpanan mesin Vacum Kolam</t>
  </si>
  <si>
    <t>GROUND FLOOR</t>
  </si>
  <si>
    <t>KETERANGAN 1</t>
  </si>
  <si>
    <t>AMUZ</t>
  </si>
  <si>
    <t>31 Juli 2025</t>
  </si>
  <si>
    <t>GUDANG 4</t>
  </si>
  <si>
    <t>Digunakan Tempat sampah basah</t>
  </si>
  <si>
    <t xml:space="preserve"> luasan 117,65 Exp 31 Juli 2025</t>
  </si>
  <si>
    <t>Digunakan Tempat sampah kering</t>
  </si>
  <si>
    <t>3 Tambahan Gudang AMUZ</t>
  </si>
  <si>
    <t>FILING ROOM</t>
  </si>
  <si>
    <t xml:space="preserve"> STORAGE FEMALE AMB</t>
  </si>
  <si>
    <t>AMB</t>
  </si>
  <si>
    <t>STORAGE/ MALE AMB</t>
  </si>
  <si>
    <t>AMG kunci tersedia ( Dalam Office AMG B2)</t>
  </si>
  <si>
    <t xml:space="preserve"> - GUDANG HOUSE KEEPING/WARE HOUSE</t>
  </si>
  <si>
    <t>1 Gudang Tempat Istirahat Eng</t>
  </si>
  <si>
    <t>AMG kunci</t>
  </si>
  <si>
    <t>2 Gudang AKM (Adi Karya  Mas)</t>
  </si>
  <si>
    <t>MEPI --&gt; ?</t>
  </si>
  <si>
    <t xml:space="preserve"> - GUDANG MEPI</t>
  </si>
  <si>
    <t xml:space="preserve">Tenant kunci </t>
  </si>
  <si>
    <t>1 Gudang (samping tangga darurat arah taman)</t>
  </si>
  <si>
    <t xml:space="preserve">Ismaya </t>
  </si>
  <si>
    <t>2 Gudang beras Tisu</t>
  </si>
  <si>
    <t xml:space="preserve"> gudang scafolding </t>
  </si>
  <si>
    <t>1 Mr Fox</t>
  </si>
  <si>
    <t xml:space="preserve"> - GUDANG 5</t>
  </si>
  <si>
    <t>1 Rentokil</t>
  </si>
  <si>
    <t>Gudang Tissue</t>
  </si>
  <si>
    <t xml:space="preserve"> - GUDANG 6</t>
  </si>
  <si>
    <t>1 Gudang Tanpa nama</t>
  </si>
  <si>
    <t xml:space="preserve"> - GUDANG 7</t>
  </si>
  <si>
    <t>1 Gudang Tanpa nama ( sisi hijau)</t>
  </si>
  <si>
    <t xml:space="preserve">HK ISS </t>
  </si>
  <si>
    <t>1 Gudang Gondala (sisi hijau)</t>
  </si>
  <si>
    <t>1 Gudang ( sisi hijau)</t>
  </si>
  <si>
    <t xml:space="preserve"> Tenant </t>
  </si>
  <si>
    <t>2 Gudang (di Lorong)</t>
  </si>
  <si>
    <t>Tenant Silinder</t>
  </si>
  <si>
    <t>2 Gudang ISS</t>
  </si>
  <si>
    <t xml:space="preserve">Tenant </t>
  </si>
  <si>
    <t>Driver Medco</t>
  </si>
  <si>
    <t>1 office Marenal</t>
  </si>
  <si>
    <t>1 Gudang samoing kanan lift</t>
  </si>
  <si>
    <t xml:space="preserve"> AMG </t>
  </si>
  <si>
    <t>2 Gudang samping RTS kecil</t>
  </si>
  <si>
    <t xml:space="preserve"> AMG</t>
  </si>
  <si>
    <t>1 ruang IT (tanpa nama)</t>
  </si>
  <si>
    <t>PT Marenal</t>
  </si>
  <si>
    <t>2 Gudang lorong</t>
  </si>
  <si>
    <t xml:space="preserve">Berca Lift </t>
  </si>
  <si>
    <t>1 Gudang Driver Medco</t>
  </si>
  <si>
    <t>PANTAUAN LANGSUNG</t>
  </si>
  <si>
    <t>KETERANGAN (Data Lama)</t>
  </si>
  <si>
    <t>TENANT</t>
  </si>
  <si>
    <t xml:space="preserve">STORAGE ROOM </t>
  </si>
  <si>
    <t xml:space="preserve"> GUDANG </t>
  </si>
  <si>
    <t>S1</t>
  </si>
  <si>
    <t>S2</t>
  </si>
  <si>
    <t>S3</t>
  </si>
  <si>
    <t>S4</t>
  </si>
  <si>
    <t>S5</t>
  </si>
  <si>
    <t>S6</t>
  </si>
  <si>
    <t>S7</t>
  </si>
  <si>
    <t>SOLL</t>
  </si>
  <si>
    <t>SOL</t>
  </si>
  <si>
    <t>LOT 1 (Soto Sadi)</t>
  </si>
  <si>
    <t>LOT 2 (Rempah Bl)</t>
  </si>
  <si>
    <t>Lot 3 (Warung CJ)</t>
  </si>
  <si>
    <t>Lot 4 (Inang Ktchn)</t>
  </si>
  <si>
    <t>Lot 6 (Drinks)</t>
  </si>
  <si>
    <t>Lot 5 (Pawon)</t>
  </si>
  <si>
    <t>Lot 7 (Salami)</t>
  </si>
  <si>
    <t>Island 1 (PUYO)</t>
  </si>
  <si>
    <t>Sun Mart</t>
  </si>
  <si>
    <t>Medexs</t>
  </si>
  <si>
    <t>Pos Indonesia</t>
  </si>
  <si>
    <t>Lot 8 (BOLD BRGR)</t>
  </si>
  <si>
    <t>Lot 9 (Icip-Icip)</t>
  </si>
  <si>
    <t>Lot 10 (Ndoet)</t>
  </si>
  <si>
    <t>Lot 12 (Pempek)</t>
  </si>
  <si>
    <t>Lot 13 (FamMart)</t>
  </si>
  <si>
    <t>Pepenero</t>
  </si>
  <si>
    <t>Chikara</t>
  </si>
  <si>
    <t>Gunung Mas</t>
  </si>
  <si>
    <t>Aprez</t>
  </si>
  <si>
    <t>SMJ Valas</t>
  </si>
  <si>
    <t>Century</t>
  </si>
  <si>
    <t>Island A (Beanthere)</t>
  </si>
  <si>
    <t>I-Lead</t>
  </si>
  <si>
    <t>Tangerine</t>
  </si>
  <si>
    <t>MKT LOUNGE</t>
  </si>
  <si>
    <t>ARTOZ</t>
  </si>
  <si>
    <t xml:space="preserve">Kantin </t>
  </si>
  <si>
    <t>TENANT  THE ENERGY  (RETAIL UNIT)</t>
  </si>
  <si>
    <t xml:space="preserve">VACANT </t>
  </si>
  <si>
    <t>semigross RETAIL
(linked to BOMA)</t>
  </si>
  <si>
    <t>TOTAL RETAIL</t>
  </si>
  <si>
    <t>Vacant (Island B)</t>
  </si>
  <si>
    <t xml:space="preserve">Vacant </t>
  </si>
  <si>
    <t>s1</t>
  </si>
  <si>
    <t>s2</t>
  </si>
  <si>
    <t>s4</t>
  </si>
  <si>
    <t>s7</t>
  </si>
  <si>
    <t>Office AMB</t>
  </si>
  <si>
    <t>Loker AMB</t>
  </si>
  <si>
    <t>SCFLD</t>
  </si>
  <si>
    <t>ISS</t>
  </si>
  <si>
    <t>BERCA</t>
  </si>
  <si>
    <t>Marenal</t>
  </si>
  <si>
    <t>Drivr MDC</t>
  </si>
  <si>
    <t>HK/Warehouse</t>
  </si>
  <si>
    <t>Gudang MEI</t>
  </si>
  <si>
    <t>POSKO SECURITY</t>
  </si>
  <si>
    <t>PARKIR</t>
  </si>
  <si>
    <t>P3K</t>
  </si>
  <si>
    <t>Filing Amb</t>
  </si>
  <si>
    <t>AMG (Eng,Std,Shw)</t>
  </si>
  <si>
    <t>ADD (CRD)</t>
  </si>
  <si>
    <t>TOTAL ADD</t>
  </si>
  <si>
    <t>1. OFFICE</t>
  </si>
  <si>
    <t>2. STORAGE</t>
  </si>
  <si>
    <t xml:space="preserve"> PC</t>
  </si>
  <si>
    <t>KITCHEN</t>
  </si>
  <si>
    <t>AMB BACKOFFICE</t>
  </si>
  <si>
    <t>3. RETAIL</t>
  </si>
  <si>
    <t>1b. OFFICE over/under</t>
  </si>
  <si>
    <t>TOTAL FACILITIES</t>
  </si>
  <si>
    <t>TENANT  THE ENERGY  (FACILITIES)</t>
  </si>
  <si>
    <t>4. FACILITIES</t>
  </si>
  <si>
    <t>Storage SH</t>
  </si>
  <si>
    <t>Storage Vacant</t>
  </si>
  <si>
    <t>STORAGE (2ND FL - B5)</t>
  </si>
  <si>
    <t>TOTAL OCCUPANCY</t>
  </si>
  <si>
    <t>OFFICE (STORAGE)</t>
  </si>
  <si>
    <t>RENTABLE</t>
  </si>
  <si>
    <t>% OCCUPIED</t>
  </si>
  <si>
    <t>5. SUMMARIES</t>
  </si>
  <si>
    <t>OFFICE ZONE</t>
  </si>
  <si>
    <t>Vacant (lot 11)</t>
  </si>
  <si>
    <t>Vacant (lot 14)</t>
  </si>
  <si>
    <t>MEPI MEPN</t>
  </si>
  <si>
    <t>Vacant Zona A</t>
  </si>
  <si>
    <t>Medco Mining</t>
  </si>
  <si>
    <t>MDAL</t>
  </si>
  <si>
    <t>MEMI</t>
  </si>
  <si>
    <t>Astranawa</t>
  </si>
  <si>
    <t>Corridor 21</t>
  </si>
  <si>
    <t>Corridor 31</t>
  </si>
  <si>
    <t>MPI 9</t>
  </si>
  <si>
    <t>MEDCO 27</t>
  </si>
  <si>
    <t>MIND ID 18</t>
  </si>
  <si>
    <t>Prospect</t>
  </si>
  <si>
    <t>MPI 31</t>
  </si>
  <si>
    <t>Periode: 31 Aug 22</t>
  </si>
  <si>
    <t>maxpower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</si>
</sst>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#,##0.000"/>
    <numFmt numFmtId="166" formatCode="[$-409]d\-mmm\-yy;@"/>
    <numFmt numFmtId="167" formatCode="&quot;Rp&quot;#,##0_);[Red]\(&quot;Rp&quot;#,##0\)"/>
  </numFmts>
  <fonts count="5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11"/>
      <color theme="11"/>
      <name val="Calibri"/>
      <family val="2"/>
      <charset val="1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0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sz val="14"/>
      <color theme="7" tint="-0.249977111117893"/>
      <name val="Arial Narrow"/>
      <family val="2"/>
    </font>
    <font>
      <b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4"/>
      <color rgb="FFFF0000"/>
      <name val="Arial Narrow"/>
      <family val="2"/>
    </font>
    <font>
      <b/>
      <sz val="14"/>
      <color rgb="FFC00000"/>
      <name val="Arial Narrow"/>
      <family val="2"/>
    </font>
    <font>
      <sz val="14"/>
      <color rgb="FFFF0000"/>
      <name val="Arial Narrow"/>
      <family val="2"/>
    </font>
    <font>
      <b/>
      <u/>
      <sz val="14"/>
      <name val="Arial Narrow"/>
      <family val="2"/>
    </font>
    <font>
      <i/>
      <sz val="14"/>
      <name val="Arial Narrow"/>
      <family val="2"/>
    </font>
    <font>
      <b/>
      <sz val="11"/>
      <color theme="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8"/>
      <name val="Calibri"/>
      <family val="2"/>
      <charset val="1"/>
      <scheme val="minor"/>
    </font>
    <font>
      <sz val="18"/>
      <name val="Arial"/>
      <family val="2"/>
    </font>
    <font>
      <b/>
      <sz val="18"/>
      <color rgb="FFFFFFFF"/>
      <name val="Tw Cen MT"/>
      <family val="2"/>
    </font>
    <font>
      <sz val="12"/>
      <color rgb="FF000000"/>
      <name val="Tw Cen MT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2"/>
      <color theme="0"/>
      <name val="Arial Narrow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color theme="3"/>
      <name val="Arial Narrow"/>
      <family val="2"/>
    </font>
    <font>
      <b/>
      <sz val="14"/>
      <color theme="3"/>
      <name val="Arial Narrow"/>
      <family val="2"/>
    </font>
    <font>
      <b/>
      <i/>
      <sz val="14"/>
      <color theme="0"/>
      <name val="Arial Narrow"/>
      <family val="2"/>
    </font>
    <font>
      <b/>
      <sz val="24"/>
      <color theme="1"/>
      <name val="Arial Narrow"/>
      <family val="2"/>
    </font>
    <font>
      <b/>
      <sz val="8"/>
      <color theme="0"/>
      <name val="Arial Narrow"/>
      <family val="2"/>
    </font>
    <font>
      <b/>
      <sz val="8"/>
      <color rgb="FFFF0000"/>
      <name val="Arial Narrow"/>
      <family val="2"/>
    </font>
    <font>
      <b/>
      <sz val="8"/>
      <color theme="1"/>
      <name val="Arial Narrow"/>
      <family val="2"/>
    </font>
    <font>
      <b/>
      <sz val="26"/>
      <color theme="1"/>
      <name val="Arial Narrow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2FA3EE"/>
        <bgColor indexed="64"/>
      </patternFill>
    </fill>
    <fill>
      <patternFill patternType="solid">
        <fgColor rgb="FFCDE0F8"/>
        <bgColor indexed="64"/>
      </patternFill>
    </fill>
    <fill>
      <patternFill patternType="solid">
        <fgColor rgb="FFE8F0FC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rgb="FFFFFFFF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114">
    <xf numFmtId="0" fontId="0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</cellStyleXfs>
  <cellXfs count="758">
    <xf numFmtId="0" fontId="0" fillId="0" borderId="0" xfId="0"/>
    <xf numFmtId="0" fontId="7" fillId="0" borderId="0" xfId="29"/>
    <xf numFmtId="0" fontId="7" fillId="0" borderId="0" xfId="29" applyAlignment="1">
      <alignment horizontal="left"/>
    </xf>
    <xf numFmtId="4" fontId="7" fillId="0" borderId="0" xfId="29" applyNumberFormat="1" applyAlignment="1">
      <alignment horizontal="right"/>
    </xf>
    <xf numFmtId="0" fontId="6" fillId="0" borderId="0" xfId="29" applyFont="1"/>
    <xf numFmtId="0" fontId="6" fillId="0" borderId="0" xfId="29" applyFont="1" applyAlignment="1">
      <alignment horizontal="left"/>
    </xf>
    <xf numFmtId="4" fontId="6" fillId="0" borderId="0" xfId="29" applyNumberFormat="1" applyFont="1" applyAlignment="1">
      <alignment horizontal="right"/>
    </xf>
    <xf numFmtId="0" fontId="6" fillId="15" borderId="0" xfId="29" applyFont="1" applyFill="1" applyAlignment="1">
      <alignment horizontal="left"/>
    </xf>
    <xf numFmtId="2" fontId="7" fillId="0" borderId="0" xfId="29" applyNumberFormat="1" applyAlignment="1">
      <alignment horizontal="left"/>
    </xf>
    <xf numFmtId="0" fontId="7" fillId="0" borderId="22" xfId="29" applyBorder="1" applyAlignment="1">
      <alignment horizontal="left"/>
    </xf>
    <xf numFmtId="0" fontId="7" fillId="0" borderId="22" xfId="29" applyBorder="1"/>
    <xf numFmtId="2" fontId="6" fillId="0" borderId="0" xfId="30" applyNumberFormat="1" applyFont="1" applyAlignment="1">
      <alignment horizontal="right"/>
    </xf>
    <xf numFmtId="4" fontId="6" fillId="0" borderId="0" xfId="31" applyNumberFormat="1" applyFont="1" applyAlignment="1">
      <alignment horizontal="right"/>
    </xf>
    <xf numFmtId="4" fontId="7" fillId="0" borderId="0" xfId="29" applyNumberFormat="1" applyAlignment="1">
      <alignment horizontal="left"/>
    </xf>
    <xf numFmtId="4" fontId="0" fillId="0" borderId="0" xfId="31" applyNumberFormat="1" applyFont="1" applyAlignment="1">
      <alignment horizontal="right"/>
    </xf>
    <xf numFmtId="0" fontId="7" fillId="0" borderId="0" xfId="29" applyAlignment="1">
      <alignment horizontal="right"/>
    </xf>
    <xf numFmtId="0" fontId="8" fillId="7" borderId="17" xfId="0" applyFont="1" applyFill="1" applyBorder="1" applyAlignment="1">
      <alignment horizontal="center" vertical="center" wrapText="1"/>
    </xf>
    <xf numFmtId="0" fontId="9" fillId="2" borderId="0" xfId="0" applyFont="1" applyFill="1"/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0" fontId="9" fillId="0" borderId="0" xfId="1" applyNumberFormat="1" applyFont="1" applyAlignment="1">
      <alignment horizontal="center"/>
    </xf>
    <xf numFmtId="0" fontId="9" fillId="0" borderId="0" xfId="1" applyNumberFormat="1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" fontId="11" fillId="0" borderId="0" xfId="0" applyNumberFormat="1" applyFont="1" applyAlignment="1">
      <alignment horizontal="center" vertical="center"/>
    </xf>
    <xf numFmtId="4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14" fontId="10" fillId="0" borderId="0" xfId="0" applyNumberFormat="1" applyFont="1" applyAlignment="1">
      <alignment horizontal="center" vertical="center"/>
    </xf>
    <xf numFmtId="4" fontId="10" fillId="0" borderId="0" xfId="0" applyNumberFormat="1" applyFont="1"/>
    <xf numFmtId="4" fontId="12" fillId="9" borderId="11" xfId="0" applyNumberFormat="1" applyFont="1" applyFill="1" applyBorder="1" applyAlignment="1">
      <alignment horizontal="center" vertical="center" wrapText="1"/>
    </xf>
    <xf numFmtId="0" fontId="12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4" fontId="12" fillId="8" borderId="17" xfId="0" applyNumberFormat="1" applyFont="1" applyFill="1" applyBorder="1" applyAlignment="1">
      <alignment horizontal="center" vertical="center" wrapText="1"/>
    </xf>
    <xf numFmtId="0" fontId="12" fillId="8" borderId="17" xfId="1" applyNumberFormat="1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0" fontId="10" fillId="2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4" fontId="12" fillId="0" borderId="0" xfId="0" applyNumberFormat="1" applyFont="1" applyAlignment="1">
      <alignment horizontal="center"/>
    </xf>
    <xf numFmtId="4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4" fontId="13" fillId="0" borderId="0" xfId="0" applyNumberFormat="1" applyFont="1" applyAlignment="1">
      <alignment horizontal="center" vertical="center"/>
    </xf>
    <xf numFmtId="4" fontId="10" fillId="2" borderId="0" xfId="0" applyNumberFormat="1" applyFont="1" applyFill="1"/>
    <xf numFmtId="0" fontId="1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9" fontId="14" fillId="0" borderId="0" xfId="1" applyNumberFormat="1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top"/>
    </xf>
    <xf numFmtId="4" fontId="16" fillId="5" borderId="15" xfId="0" applyNumberFormat="1" applyFont="1" applyFill="1" applyBorder="1" applyAlignment="1">
      <alignment horizontal="center" vertical="top"/>
    </xf>
    <xf numFmtId="9" fontId="17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top"/>
    </xf>
    <xf numFmtId="4" fontId="12" fillId="0" borderId="0" xfId="0" applyNumberFormat="1" applyFont="1" applyAlignment="1">
      <alignment horizontal="center" vertical="top"/>
    </xf>
    <xf numFmtId="4" fontId="12" fillId="8" borderId="15" xfId="0" applyNumberFormat="1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center" wrapText="1"/>
    </xf>
    <xf numFmtId="0" fontId="15" fillId="2" borderId="0" xfId="0" applyFont="1" applyFill="1" applyAlignment="1">
      <alignment vertical="center"/>
    </xf>
    <xf numFmtId="0" fontId="12" fillId="2" borderId="0" xfId="1" applyNumberFormat="1" applyFont="1" applyFill="1" applyBorder="1" applyAlignment="1">
      <alignment vertical="center" wrapText="1"/>
    </xf>
    <xf numFmtId="0" fontId="15" fillId="2" borderId="0" xfId="1" applyNumberFormat="1" applyFont="1" applyFill="1" applyBorder="1" applyAlignment="1">
      <alignment vertical="center" wrapText="1"/>
    </xf>
    <xf numFmtId="0" fontId="10" fillId="2" borderId="0" xfId="1" applyNumberFormat="1" applyFont="1" applyFill="1" applyBorder="1" applyAlignment="1">
      <alignment vertical="center" wrapText="1"/>
    </xf>
    <xf numFmtId="0" fontId="9" fillId="2" borderId="0" xfId="1" applyNumberFormat="1" applyFont="1" applyFill="1" applyBorder="1" applyAlignment="1">
      <alignment vertical="center" wrapText="1"/>
    </xf>
    <xf numFmtId="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9" fontId="18" fillId="0" borderId="0" xfId="1" applyNumberFormat="1" applyFont="1" applyFill="1" applyBorder="1" applyAlignment="1">
      <alignment horizontal="center" vertical="center" wrapText="1"/>
    </xf>
    <xf numFmtId="4" fontId="12" fillId="8" borderId="8" xfId="0" applyNumberFormat="1" applyFont="1" applyFill="1" applyBorder="1" applyAlignment="1">
      <alignment horizontal="center" vertical="top"/>
    </xf>
    <xf numFmtId="4" fontId="15" fillId="7" borderId="17" xfId="1" applyNumberFormat="1" applyFont="1" applyFill="1" applyBorder="1" applyAlignment="1">
      <alignment horizontal="center" vertical="center" wrapText="1"/>
    </xf>
    <xf numFmtId="4" fontId="12" fillId="7" borderId="17" xfId="1" applyNumberFormat="1" applyFont="1" applyFill="1" applyBorder="1" applyAlignment="1">
      <alignment horizontal="center" vertical="center" wrapText="1"/>
    </xf>
    <xf numFmtId="10" fontId="12" fillId="7" borderId="17" xfId="1" applyNumberFormat="1" applyFont="1" applyFill="1" applyBorder="1" applyAlignment="1">
      <alignment horizontal="center" vertical="center" wrapText="1"/>
    </xf>
    <xf numFmtId="10" fontId="12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center"/>
    </xf>
    <xf numFmtId="10" fontId="17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4" fontId="19" fillId="2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left" vertical="center"/>
    </xf>
    <xf numFmtId="4" fontId="9" fillId="0" borderId="0" xfId="0" quotePrefix="1" applyNumberFormat="1" applyFont="1" applyAlignment="1">
      <alignment horizontal="left" vertical="center"/>
    </xf>
    <xf numFmtId="0" fontId="9" fillId="0" borderId="0" xfId="1" applyNumberFormat="1" applyFont="1" applyFill="1" applyBorder="1" applyAlignment="1">
      <alignment horizontal="center" vertical="center"/>
    </xf>
    <xf numFmtId="4" fontId="13" fillId="14" borderId="17" xfId="0" applyNumberFormat="1" applyFont="1" applyFill="1" applyBorder="1" applyAlignment="1">
      <alignment vertical="center"/>
    </xf>
    <xf numFmtId="4" fontId="13" fillId="14" borderId="17" xfId="0" applyNumberFormat="1" applyFont="1" applyFill="1" applyBorder="1" applyAlignment="1">
      <alignment horizontal="center" vertical="center"/>
    </xf>
    <xf numFmtId="10" fontId="13" fillId="14" borderId="17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4" fontId="9" fillId="2" borderId="0" xfId="0" applyNumberFormat="1" applyFont="1" applyFill="1" applyAlignment="1">
      <alignment horizontal="right" vertical="center"/>
    </xf>
    <xf numFmtId="0" fontId="20" fillId="0" borderId="0" xfId="1" applyNumberFormat="1" applyFont="1" applyFill="1" applyBorder="1" applyAlignment="1">
      <alignment vertical="center"/>
    </xf>
    <xf numFmtId="4" fontId="13" fillId="0" borderId="17" xfId="0" applyNumberFormat="1" applyFont="1" applyBorder="1" applyAlignment="1">
      <alignment horizontal="right" vertical="center"/>
    </xf>
    <xf numFmtId="10" fontId="13" fillId="0" borderId="17" xfId="2" applyNumberFormat="1" applyFont="1" applyBorder="1" applyAlignment="1">
      <alignment horizontal="right" vertical="center"/>
    </xf>
    <xf numFmtId="0" fontId="9" fillId="0" borderId="0" xfId="0" applyFont="1" applyAlignment="1">
      <alignment horizontal="right"/>
    </xf>
    <xf numFmtId="4" fontId="9" fillId="0" borderId="0" xfId="0" applyNumberFormat="1" applyFont="1" applyAlignment="1">
      <alignment horizontal="right"/>
    </xf>
    <xf numFmtId="4" fontId="10" fillId="0" borderId="0" xfId="0" applyNumberFormat="1" applyFont="1" applyAlignment="1">
      <alignment horizontal="left"/>
    </xf>
    <xf numFmtId="0" fontId="9" fillId="0" borderId="0" xfId="1" applyNumberFormat="1" applyFont="1" applyAlignment="1">
      <alignment horizontal="left"/>
    </xf>
    <xf numFmtId="4" fontId="13" fillId="14" borderId="14" xfId="0" applyNumberFormat="1" applyFont="1" applyFill="1" applyBorder="1" applyAlignment="1">
      <alignment vertical="center"/>
    </xf>
    <xf numFmtId="4" fontId="13" fillId="0" borderId="14" xfId="1" applyNumberFormat="1" applyFont="1" applyBorder="1" applyAlignment="1">
      <alignment horizontal="right" vertical="center"/>
    </xf>
    <xf numFmtId="10" fontId="13" fillId="0" borderId="14" xfId="2" applyNumberFormat="1" applyFont="1" applyBorder="1" applyAlignment="1">
      <alignment horizontal="right" vertical="center"/>
    </xf>
    <xf numFmtId="0" fontId="19" fillId="0" borderId="0" xfId="0" applyFont="1" applyAlignment="1">
      <alignment horizontal="center" vertical="center"/>
    </xf>
    <xf numFmtId="4" fontId="13" fillId="14" borderId="23" xfId="0" applyNumberFormat="1" applyFont="1" applyFill="1" applyBorder="1" applyAlignment="1">
      <alignment vertical="center"/>
    </xf>
    <xf numFmtId="4" fontId="15" fillId="8" borderId="14" xfId="0" applyNumberFormat="1" applyFont="1" applyFill="1" applyBorder="1" applyAlignment="1">
      <alignment horizontal="center"/>
    </xf>
    <xf numFmtId="4" fontId="15" fillId="0" borderId="0" xfId="0" applyNumberFormat="1" applyFont="1" applyAlignment="1">
      <alignment horizontal="center"/>
    </xf>
    <xf numFmtId="4" fontId="14" fillId="5" borderId="14" xfId="0" applyNumberFormat="1" applyFont="1" applyFill="1" applyBorder="1" applyAlignment="1">
      <alignment horizontal="center"/>
    </xf>
    <xf numFmtId="4" fontId="15" fillId="8" borderId="14" xfId="0" applyNumberFormat="1" applyFont="1" applyFill="1" applyBorder="1" applyAlignment="1">
      <alignment horizontal="center" wrapText="1"/>
    </xf>
    <xf numFmtId="4" fontId="15" fillId="8" borderId="14" xfId="0" applyNumberFormat="1" applyFont="1" applyFill="1" applyBorder="1" applyAlignment="1">
      <alignment horizontal="center" vertical="center"/>
    </xf>
    <xf numFmtId="4" fontId="15" fillId="8" borderId="18" xfId="0" applyNumberFormat="1" applyFont="1" applyFill="1" applyBorder="1" applyAlignment="1">
      <alignment horizontal="center"/>
    </xf>
    <xf numFmtId="4" fontId="9" fillId="0" borderId="0" xfId="0" applyNumberFormat="1" applyFont="1" applyAlignment="1">
      <alignment vertical="center"/>
    </xf>
    <xf numFmtId="4" fontId="21" fillId="9" borderId="11" xfId="0" applyNumberFormat="1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13" fillId="2" borderId="0" xfId="1" applyNumberFormat="1" applyFont="1" applyFill="1" applyBorder="1" applyAlignment="1">
      <alignment vertical="center" wrapText="1"/>
    </xf>
    <xf numFmtId="4" fontId="13" fillId="16" borderId="1" xfId="0" applyNumberFormat="1" applyFont="1" applyFill="1" applyBorder="1" applyAlignment="1">
      <alignment horizontal="center" vertical="center" wrapText="1"/>
    </xf>
    <xf numFmtId="4" fontId="14" fillId="16" borderId="4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0" fontId="12" fillId="8" borderId="15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 wrapText="1"/>
    </xf>
    <xf numFmtId="2" fontId="12" fillId="8" borderId="15" xfId="0" applyNumberFormat="1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4" xfId="1" applyNumberFormat="1" applyFont="1" applyFill="1" applyBorder="1" applyAlignment="1">
      <alignment vertical="center" wrapText="1"/>
    </xf>
    <xf numFmtId="0" fontId="15" fillId="8" borderId="17" xfId="0" applyFont="1" applyFill="1" applyBorder="1" applyAlignment="1">
      <alignment horizontal="center" vertical="center"/>
    </xf>
    <xf numFmtId="0" fontId="26" fillId="19" borderId="26" xfId="0" applyFont="1" applyFill="1" applyBorder="1" applyAlignment="1">
      <alignment vertical="top" wrapText="1"/>
    </xf>
    <xf numFmtId="0" fontId="27" fillId="19" borderId="26" xfId="0" applyFont="1" applyFill="1" applyBorder="1" applyAlignment="1">
      <alignment horizontal="left" vertical="center" wrapText="1" readingOrder="1"/>
    </xf>
    <xf numFmtId="0" fontId="28" fillId="20" borderId="27" xfId="0" applyFont="1" applyFill="1" applyBorder="1" applyAlignment="1">
      <alignment horizontal="left" vertical="center" wrapText="1" readingOrder="1"/>
    </xf>
    <xf numFmtId="0" fontId="28" fillId="21" borderId="28" xfId="0" applyFont="1" applyFill="1" applyBorder="1" applyAlignment="1">
      <alignment horizontal="left" vertical="center" wrapText="1" readingOrder="1"/>
    </xf>
    <xf numFmtId="0" fontId="28" fillId="20" borderId="28" xfId="0" applyFont="1" applyFill="1" applyBorder="1" applyAlignment="1">
      <alignment horizontal="left" vertical="center" wrapText="1" readingOrder="1"/>
    </xf>
    <xf numFmtId="4" fontId="29" fillId="20" borderId="27" xfId="0" applyNumberFormat="1" applyFont="1" applyFill="1" applyBorder="1" applyAlignment="1">
      <alignment horizontal="center" vertical="center" wrapText="1" readingOrder="1"/>
    </xf>
    <xf numFmtId="4" fontId="30" fillId="21" borderId="28" xfId="0" applyNumberFormat="1" applyFont="1" applyFill="1" applyBorder="1" applyAlignment="1">
      <alignment horizontal="center" vertical="center" wrapText="1"/>
    </xf>
    <xf numFmtId="0" fontId="30" fillId="20" borderId="28" xfId="0" applyFont="1" applyFill="1" applyBorder="1" applyAlignment="1">
      <alignment horizontal="center" vertical="center" wrapText="1"/>
    </xf>
    <xf numFmtId="10" fontId="30" fillId="21" borderId="28" xfId="0" applyNumberFormat="1" applyFont="1" applyFill="1" applyBorder="1" applyAlignment="1">
      <alignment horizontal="center" vertical="center" wrapText="1"/>
    </xf>
    <xf numFmtId="0" fontId="0" fillId="22" borderId="29" xfId="0" applyFill="1" applyBorder="1"/>
    <xf numFmtId="0" fontId="0" fillId="0" borderId="29" xfId="0" applyBorder="1"/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7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36" fillId="4" borderId="17" xfId="0" applyFont="1" applyFill="1" applyBorder="1" applyAlignment="1">
      <alignment vertical="center"/>
    </xf>
    <xf numFmtId="0" fontId="36" fillId="4" borderId="17" xfId="0" applyFont="1" applyFill="1" applyBorder="1" applyAlignment="1">
      <alignment horizontal="center" vertical="center"/>
    </xf>
    <xf numFmtId="0" fontId="36" fillId="4" borderId="1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0" fillId="24" borderId="37" xfId="0" applyFill="1" applyBorder="1" applyAlignment="1">
      <alignment vertical="center"/>
    </xf>
    <xf numFmtId="0" fontId="32" fillId="24" borderId="17" xfId="0" applyFont="1" applyFill="1" applyBorder="1" applyAlignment="1">
      <alignment horizontal="center" vertical="center"/>
    </xf>
    <xf numFmtId="0" fontId="33" fillId="24" borderId="17" xfId="0" applyFont="1" applyFill="1" applyBorder="1" applyAlignment="1">
      <alignment horizontal="center" vertical="center"/>
    </xf>
    <xf numFmtId="4" fontId="32" fillId="24" borderId="17" xfId="0" applyNumberFormat="1" applyFont="1" applyFill="1" applyBorder="1" applyAlignment="1">
      <alignment horizontal="center" vertical="center"/>
    </xf>
    <xf numFmtId="0" fontId="31" fillId="23" borderId="35" xfId="0" applyFont="1" applyFill="1" applyBorder="1" applyAlignment="1">
      <alignment vertical="center"/>
    </xf>
    <xf numFmtId="0" fontId="31" fillId="23" borderId="37" xfId="0" applyFont="1" applyFill="1" applyBorder="1" applyAlignment="1">
      <alignment vertical="center"/>
    </xf>
    <xf numFmtId="0" fontId="31" fillId="23" borderId="17" xfId="0" applyFont="1" applyFill="1" applyBorder="1" applyAlignment="1">
      <alignment vertical="center"/>
    </xf>
    <xf numFmtId="0" fontId="31" fillId="23" borderId="1" xfId="0" applyFont="1" applyFill="1" applyBorder="1" applyAlignment="1">
      <alignment vertical="center"/>
    </xf>
    <xf numFmtId="0" fontId="31" fillId="23" borderId="12" xfId="0" applyFont="1" applyFill="1" applyBorder="1" applyAlignment="1">
      <alignment vertical="center"/>
    </xf>
    <xf numFmtId="0" fontId="33" fillId="24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0" fontId="33" fillId="24" borderId="14" xfId="0" applyFont="1" applyFill="1" applyBorder="1" applyAlignment="1">
      <alignment horizontal="center" vertical="center"/>
    </xf>
    <xf numFmtId="4" fontId="32" fillId="24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15" fillId="8" borderId="17" xfId="0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5" fillId="8" borderId="15" xfId="0" applyFont="1" applyFill="1" applyBorder="1" applyAlignment="1">
      <alignment horizontal="center" vertical="center" wrapText="1"/>
    </xf>
    <xf numFmtId="0" fontId="15" fillId="8" borderId="11" xfId="0" applyFont="1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 vertical="center"/>
    </xf>
    <xf numFmtId="0" fontId="29" fillId="21" borderId="28" xfId="0" applyFont="1" applyFill="1" applyBorder="1" applyAlignment="1">
      <alignment horizontal="center" vertical="center" wrapText="1" readingOrder="1"/>
    </xf>
    <xf numFmtId="16" fontId="27" fillId="19" borderId="26" xfId="0" applyNumberFormat="1" applyFont="1" applyFill="1" applyBorder="1" applyAlignment="1">
      <alignment horizontal="left" vertical="center" wrapText="1" readingOrder="1"/>
    </xf>
    <xf numFmtId="0" fontId="12" fillId="8" borderId="8" xfId="0" applyFont="1" applyFill="1" applyBorder="1" applyAlignment="1">
      <alignment horizontal="center" vertical="center"/>
    </xf>
    <xf numFmtId="0" fontId="0" fillId="4" borderId="17" xfId="0" applyFill="1" applyBorder="1" applyAlignment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0" fillId="0" borderId="17" xfId="0" applyBorder="1"/>
    <xf numFmtId="0" fontId="0" fillId="25" borderId="17" xfId="0" applyFill="1" applyBorder="1"/>
    <xf numFmtId="0" fontId="0" fillId="17" borderId="17" xfId="0" applyFill="1" applyBorder="1"/>
    <xf numFmtId="4" fontId="33" fillId="0" borderId="14" xfId="0" applyNumberFormat="1" applyFont="1" applyBorder="1" applyAlignment="1">
      <alignment horizontal="center" vertical="center"/>
    </xf>
    <xf numFmtId="17" fontId="0" fillId="0" borderId="9" xfId="0" applyNumberFormat="1" applyBorder="1" applyAlignment="1">
      <alignment vertical="center"/>
    </xf>
    <xf numFmtId="0" fontId="15" fillId="8" borderId="18" xfId="0" applyFont="1" applyFill="1" applyBorder="1" applyAlignment="1">
      <alignment vertical="center" wrapText="1"/>
    </xf>
    <xf numFmtId="2" fontId="12" fillId="8" borderId="1" xfId="0" applyNumberFormat="1" applyFont="1" applyFill="1" applyBorder="1" applyAlignment="1">
      <alignment horizontal="center" vertical="center"/>
    </xf>
    <xf numFmtId="0" fontId="0" fillId="5" borderId="29" xfId="0" applyFill="1" applyBorder="1"/>
    <xf numFmtId="15" fontId="0" fillId="0" borderId="0" xfId="0" applyNumberFormat="1"/>
    <xf numFmtId="10" fontId="39" fillId="13" borderId="2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3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2" borderId="29" xfId="0" applyFill="1" applyBorder="1"/>
    <xf numFmtId="0" fontId="0" fillId="10" borderId="29" xfId="0" applyFill="1" applyBorder="1"/>
    <xf numFmtId="0" fontId="0" fillId="12" borderId="0" xfId="0" applyFill="1"/>
    <xf numFmtId="0" fontId="0" fillId="4" borderId="14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4" borderId="9" xfId="0" applyFill="1" applyBorder="1" applyAlignment="1">
      <alignment vertical="center"/>
    </xf>
    <xf numFmtId="0" fontId="37" fillId="0" borderId="40" xfId="0" applyFont="1" applyBorder="1"/>
    <xf numFmtId="0" fontId="40" fillId="0" borderId="0" xfId="0" applyFont="1" applyAlignment="1">
      <alignment vertical="center"/>
    </xf>
    <xf numFmtId="0" fontId="41" fillId="0" borderId="0" xfId="0" applyFont="1"/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31" fillId="0" borderId="17" xfId="0" applyFont="1" applyBorder="1" applyAlignment="1">
      <alignment horizontal="right"/>
    </xf>
    <xf numFmtId="4" fontId="31" fillId="0" borderId="17" xfId="0" applyNumberFormat="1" applyFont="1" applyBorder="1" applyAlignment="1">
      <alignment horizontal="left"/>
    </xf>
    <xf numFmtId="0" fontId="0" fillId="0" borderId="17" xfId="0" applyBorder="1" applyAlignment="1">
      <alignment horizontal="right"/>
    </xf>
    <xf numFmtId="4" fontId="0" fillId="0" borderId="17" xfId="0" applyNumberFormat="1" applyBorder="1" applyAlignment="1">
      <alignment horizontal="left"/>
    </xf>
    <xf numFmtId="15" fontId="0" fillId="0" borderId="17" xfId="0" applyNumberFormat="1" applyBorder="1"/>
    <xf numFmtId="15" fontId="0" fillId="0" borderId="17" xfId="0" applyNumberFormat="1" applyBorder="1" applyAlignment="1">
      <alignment horizontal="right"/>
    </xf>
    <xf numFmtId="166" fontId="34" fillId="2" borderId="17" xfId="0" applyNumberFormat="1" applyFont="1" applyFill="1" applyBorder="1" applyAlignment="1">
      <alignment horizontal="right" vertical="center" wrapText="1"/>
    </xf>
    <xf numFmtId="15" fontId="0" fillId="0" borderId="15" xfId="0" applyNumberFormat="1" applyBorder="1"/>
    <xf numFmtId="0" fontId="0" fillId="13" borderId="17" xfId="0" applyFill="1" applyBorder="1" applyAlignment="1">
      <alignment horizontal="center"/>
    </xf>
    <xf numFmtId="0" fontId="0" fillId="13" borderId="17" xfId="0" applyFill="1" applyBorder="1"/>
    <xf numFmtId="15" fontId="0" fillId="13" borderId="17" xfId="0" applyNumberFormat="1" applyFill="1" applyBorder="1"/>
    <xf numFmtId="0" fontId="0" fillId="13" borderId="17" xfId="0" applyFill="1" applyBorder="1" applyAlignment="1">
      <alignment horizontal="right"/>
    </xf>
    <xf numFmtId="4" fontId="0" fillId="13" borderId="17" xfId="0" applyNumberFormat="1" applyFill="1" applyBorder="1" applyAlignment="1">
      <alignment horizontal="left"/>
    </xf>
    <xf numFmtId="0" fontId="16" fillId="2" borderId="0" xfId="0" applyFont="1" applyFill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0" fillId="2" borderId="29" xfId="0" applyFill="1" applyBorder="1"/>
    <xf numFmtId="0" fontId="15" fillId="8" borderId="20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 wrapText="1"/>
    </xf>
    <xf numFmtId="0" fontId="45" fillId="0" borderId="0" xfId="0" applyFont="1"/>
    <xf numFmtId="10" fontId="45" fillId="0" borderId="0" xfId="0" applyNumberFormat="1" applyFont="1"/>
    <xf numFmtId="0" fontId="38" fillId="17" borderId="29" xfId="0" applyFont="1" applyFill="1" applyBorder="1"/>
    <xf numFmtId="0" fontId="38" fillId="5" borderId="29" xfId="0" applyFont="1" applyFill="1" applyBorder="1"/>
    <xf numFmtId="0" fontId="0" fillId="26" borderId="29" xfId="0" applyFill="1" applyBorder="1"/>
    <xf numFmtId="0" fontId="0" fillId="17" borderId="29" xfId="0" applyFill="1" applyBorder="1"/>
    <xf numFmtId="0" fontId="16" fillId="5" borderId="1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0" fillId="22" borderId="29" xfId="0" applyFill="1" applyBorder="1" applyAlignment="1">
      <alignment horizontal="right" vertical="center"/>
    </xf>
    <xf numFmtId="0" fontId="0" fillId="27" borderId="0" xfId="0" applyFill="1"/>
    <xf numFmtId="4" fontId="0" fillId="0" borderId="17" xfId="0" applyNumberFormat="1" applyBorder="1"/>
    <xf numFmtId="0" fontId="0" fillId="0" borderId="17" xfId="0" applyBorder="1" applyAlignment="1">
      <alignment horizontal="left" vertical="top"/>
    </xf>
    <xf numFmtId="0" fontId="0" fillId="27" borderId="17" xfId="0" applyFill="1" applyBorder="1"/>
    <xf numFmtId="164" fontId="0" fillId="0" borderId="17" xfId="112" applyFont="1" applyBorder="1"/>
    <xf numFmtId="4" fontId="0" fillId="27" borderId="17" xfId="0" applyNumberFormat="1" applyFill="1" applyBorder="1"/>
    <xf numFmtId="0" fontId="31" fillId="18" borderId="17" xfId="0" applyFont="1" applyFill="1" applyBorder="1"/>
    <xf numFmtId="0" fontId="0" fillId="18" borderId="17" xfId="0" applyFill="1" applyBorder="1"/>
    <xf numFmtId="0" fontId="31" fillId="0" borderId="0" xfId="0" applyFont="1"/>
    <xf numFmtId="0" fontId="31" fillId="25" borderId="17" xfId="0" applyFont="1" applyFill="1" applyBorder="1"/>
    <xf numFmtId="4" fontId="0" fillId="0" borderId="0" xfId="0" applyNumberFormat="1"/>
    <xf numFmtId="164" fontId="0" fillId="0" borderId="0" xfId="0" applyNumberFormat="1"/>
    <xf numFmtId="0" fontId="9" fillId="5" borderId="18" xfId="0" applyFont="1" applyFill="1" applyBorder="1" applyAlignment="1">
      <alignment horizontal="center" vertical="center" wrapText="1"/>
    </xf>
    <xf numFmtId="2" fontId="16" fillId="5" borderId="15" xfId="0" applyNumberFormat="1" applyFont="1" applyFill="1" applyBorder="1" applyAlignment="1">
      <alignment horizontal="center" vertical="center"/>
    </xf>
    <xf numFmtId="2" fontId="16" fillId="5" borderId="8" xfId="0" applyNumberFormat="1" applyFont="1" applyFill="1" applyBorder="1" applyAlignment="1">
      <alignment horizontal="center" vertical="center"/>
    </xf>
    <xf numFmtId="4" fontId="9" fillId="5" borderId="14" xfId="0" applyNumberFormat="1" applyFont="1" applyFill="1" applyBorder="1" applyAlignment="1">
      <alignment horizontal="center"/>
    </xf>
    <xf numFmtId="4" fontId="12" fillId="9" borderId="15" xfId="0" applyNumberFormat="1" applyFont="1" applyFill="1" applyBorder="1" applyAlignment="1">
      <alignment horizontal="center" vertical="top"/>
    </xf>
    <xf numFmtId="4" fontId="15" fillId="9" borderId="14" xfId="0" applyNumberFormat="1" applyFont="1" applyFill="1" applyBorder="1" applyAlignment="1">
      <alignment horizontal="center" vertical="center" wrapText="1"/>
    </xf>
    <xf numFmtId="4" fontId="12" fillId="9" borderId="15" xfId="0" applyNumberFormat="1" applyFont="1" applyFill="1" applyBorder="1" applyAlignment="1">
      <alignment horizontal="center" vertical="top" wrapText="1"/>
    </xf>
    <xf numFmtId="4" fontId="15" fillId="9" borderId="14" xfId="0" applyNumberFormat="1" applyFont="1" applyFill="1" applyBorder="1" applyAlignment="1">
      <alignment horizontal="center"/>
    </xf>
    <xf numFmtId="0" fontId="12" fillId="8" borderId="21" xfId="0" applyFont="1" applyFill="1" applyBorder="1" applyAlignment="1">
      <alignment vertical="center"/>
    </xf>
    <xf numFmtId="0" fontId="12" fillId="8" borderId="2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top"/>
    </xf>
    <xf numFmtId="4" fontId="9" fillId="5" borderId="14" xfId="0" applyNumberFormat="1" applyFont="1" applyFill="1" applyBorder="1" applyAlignment="1">
      <alignment horizontal="center" vertical="center"/>
    </xf>
    <xf numFmtId="4" fontId="16" fillId="5" borderId="15" xfId="0" applyNumberFormat="1" applyFont="1" applyFill="1" applyBorder="1" applyAlignment="1">
      <alignment horizontal="center" vertical="center"/>
    </xf>
    <xf numFmtId="9" fontId="12" fillId="7" borderId="17" xfId="2" applyFont="1" applyFill="1" applyBorder="1" applyAlignment="1">
      <alignment horizontal="center" vertical="center" wrapText="1"/>
    </xf>
    <xf numFmtId="0" fontId="1" fillId="0" borderId="0" xfId="113"/>
    <xf numFmtId="0" fontId="1" fillId="28" borderId="0" xfId="113" applyFill="1"/>
    <xf numFmtId="0" fontId="1" fillId="0" borderId="0" xfId="113" applyAlignment="1">
      <alignment horizontal="center"/>
    </xf>
    <xf numFmtId="0" fontId="1" fillId="10" borderId="0" xfId="113" applyFill="1"/>
    <xf numFmtId="0" fontId="1" fillId="29" borderId="0" xfId="113" applyFill="1"/>
    <xf numFmtId="0" fontId="1" fillId="30" borderId="0" xfId="113" applyFill="1"/>
    <xf numFmtId="0" fontId="1" fillId="18" borderId="0" xfId="113" applyFill="1"/>
    <xf numFmtId="0" fontId="1" fillId="28" borderId="15" xfId="113" applyFill="1" applyBorder="1"/>
    <xf numFmtId="0" fontId="1" fillId="5" borderId="15" xfId="113" applyFill="1" applyBorder="1"/>
    <xf numFmtId="0" fontId="1" fillId="0" borderId="41" xfId="113" applyBorder="1" applyAlignment="1">
      <alignment horizontal="center"/>
    </xf>
    <xf numFmtId="0" fontId="31" fillId="0" borderId="41" xfId="113" applyFont="1" applyBorder="1" applyAlignment="1">
      <alignment horizontal="center" vertical="center" wrapText="1"/>
    </xf>
    <xf numFmtId="0" fontId="31" fillId="0" borderId="42" xfId="113" applyFont="1" applyBorder="1" applyAlignment="1">
      <alignment horizontal="center" vertical="center" wrapText="1"/>
    </xf>
    <xf numFmtId="0" fontId="1" fillId="0" borderId="43" xfId="113" applyBorder="1"/>
    <xf numFmtId="0" fontId="1" fillId="0" borderId="44" xfId="113" applyBorder="1"/>
    <xf numFmtId="0" fontId="1" fillId="0" borderId="45" xfId="113" applyBorder="1"/>
    <xf numFmtId="0" fontId="1" fillId="28" borderId="1" xfId="113" applyFill="1" applyBorder="1"/>
    <xf numFmtId="0" fontId="1" fillId="5" borderId="1" xfId="113" applyFill="1" applyBorder="1"/>
    <xf numFmtId="0" fontId="1" fillId="0" borderId="18" xfId="113" applyBorder="1" applyAlignment="1">
      <alignment horizontal="center" vertical="center"/>
    </xf>
    <xf numFmtId="0" fontId="1" fillId="0" borderId="21" xfId="113" applyBorder="1" applyAlignment="1">
      <alignment horizontal="center" vertical="center" wrapText="1"/>
    </xf>
    <xf numFmtId="0" fontId="1" fillId="0" borderId="1" xfId="113" applyBorder="1" applyAlignment="1">
      <alignment horizontal="center" vertical="center" wrapText="1"/>
    </xf>
    <xf numFmtId="0" fontId="1" fillId="0" borderId="1" xfId="113" applyBorder="1"/>
    <xf numFmtId="0" fontId="1" fillId="0" borderId="4" xfId="113" applyBorder="1"/>
    <xf numFmtId="0" fontId="1" fillId="0" borderId="46" xfId="113" applyBorder="1"/>
    <xf numFmtId="14" fontId="1" fillId="0" borderId="18" xfId="113" applyNumberFormat="1" applyBorder="1" applyAlignment="1">
      <alignment horizontal="center" vertical="center" wrapText="1"/>
    </xf>
    <xf numFmtId="0" fontId="1" fillId="0" borderId="18" xfId="113" applyBorder="1" applyAlignment="1">
      <alignment horizontal="center" vertical="center" wrapText="1"/>
    </xf>
    <xf numFmtId="0" fontId="1" fillId="0" borderId="14" xfId="113" applyBorder="1" applyAlignment="1">
      <alignment horizontal="center" vertical="center" wrapText="1"/>
    </xf>
    <xf numFmtId="0" fontId="1" fillId="0" borderId="14" xfId="113" applyBorder="1"/>
    <xf numFmtId="0" fontId="1" fillId="10" borderId="14" xfId="113" applyFill="1" applyBorder="1"/>
    <xf numFmtId="0" fontId="47" fillId="0" borderId="20" xfId="113" applyFont="1" applyBorder="1" applyAlignment="1">
      <alignment horizontal="center" vertical="center" wrapText="1"/>
    </xf>
    <xf numFmtId="0" fontId="47" fillId="0" borderId="47" xfId="113" applyFont="1" applyBorder="1" applyAlignment="1">
      <alignment horizontal="center" vertical="center" wrapText="1"/>
    </xf>
    <xf numFmtId="0" fontId="1" fillId="0" borderId="11" xfId="113" applyBorder="1" applyAlignment="1">
      <alignment horizontal="center"/>
    </xf>
    <xf numFmtId="0" fontId="31" fillId="0" borderId="11" xfId="113" applyFont="1" applyBorder="1" applyAlignment="1">
      <alignment horizontal="center" vertical="center" wrapText="1"/>
    </xf>
    <xf numFmtId="0" fontId="31" fillId="0" borderId="17" xfId="113" applyFont="1" applyBorder="1" applyAlignment="1">
      <alignment horizontal="center" vertical="center" wrapText="1"/>
    </xf>
    <xf numFmtId="0" fontId="1" fillId="0" borderId="15" xfId="113" applyBorder="1"/>
    <xf numFmtId="0" fontId="1" fillId="0" borderId="13" xfId="113" applyBorder="1"/>
    <xf numFmtId="0" fontId="1" fillId="0" borderId="48" xfId="113" applyBorder="1"/>
    <xf numFmtId="0" fontId="1" fillId="0" borderId="21" xfId="113" applyBorder="1" applyAlignment="1">
      <alignment horizontal="center" vertical="center"/>
    </xf>
    <xf numFmtId="167" fontId="1" fillId="0" borderId="21" xfId="113" applyNumberFormat="1" applyBorder="1" applyAlignment="1">
      <alignment horizontal="center" vertical="center" wrapText="1"/>
    </xf>
    <xf numFmtId="0" fontId="1" fillId="0" borderId="1" xfId="113" applyBorder="1" applyAlignment="1">
      <alignment vertical="center"/>
    </xf>
    <xf numFmtId="0" fontId="1" fillId="0" borderId="4" xfId="113" applyBorder="1" applyAlignment="1">
      <alignment vertical="center"/>
    </xf>
    <xf numFmtId="0" fontId="1" fillId="0" borderId="46" xfId="113" applyBorder="1" applyAlignment="1">
      <alignment vertical="center"/>
    </xf>
    <xf numFmtId="14" fontId="1" fillId="0" borderId="21" xfId="113" applyNumberFormat="1" applyBorder="1" applyAlignment="1">
      <alignment horizontal="center" vertical="center" wrapText="1"/>
    </xf>
    <xf numFmtId="0" fontId="1" fillId="0" borderId="14" xfId="113" applyBorder="1" applyAlignment="1">
      <alignment vertical="center"/>
    </xf>
    <xf numFmtId="0" fontId="1" fillId="10" borderId="14" xfId="113" applyFill="1" applyBorder="1" applyAlignment="1">
      <alignment vertical="center"/>
    </xf>
    <xf numFmtId="0" fontId="31" fillId="3" borderId="17" xfId="113" applyFont="1" applyFill="1" applyBorder="1" applyAlignment="1">
      <alignment horizontal="center" vertical="center" wrapText="1"/>
    </xf>
    <xf numFmtId="0" fontId="1" fillId="3" borderId="15" xfId="113" applyFill="1" applyBorder="1"/>
    <xf numFmtId="0" fontId="1" fillId="0" borderId="18" xfId="113" applyBorder="1" applyAlignment="1">
      <alignment horizontal="center"/>
    </xf>
    <xf numFmtId="0" fontId="1" fillId="3" borderId="1" xfId="113" applyFill="1" applyBorder="1" applyAlignment="1">
      <alignment horizontal="center" vertical="center" wrapText="1"/>
    </xf>
    <xf numFmtId="0" fontId="1" fillId="3" borderId="1" xfId="113" applyFill="1" applyBorder="1"/>
    <xf numFmtId="0" fontId="1" fillId="3" borderId="18" xfId="113" applyFill="1" applyBorder="1" applyAlignment="1">
      <alignment horizontal="center"/>
    </xf>
    <xf numFmtId="0" fontId="1" fillId="3" borderId="14" xfId="113" applyFill="1" applyBorder="1" applyAlignment="1">
      <alignment horizontal="center" vertical="center" wrapText="1"/>
    </xf>
    <xf numFmtId="0" fontId="1" fillId="3" borderId="14" xfId="113" applyFill="1" applyBorder="1"/>
    <xf numFmtId="0" fontId="1" fillId="0" borderId="18" xfId="113" applyBorder="1"/>
    <xf numFmtId="0" fontId="1" fillId="0" borderId="8" xfId="113" applyBorder="1" applyAlignment="1">
      <alignment horizontal="center"/>
    </xf>
    <xf numFmtId="0" fontId="1" fillId="3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 vertical="center" wrapText="1"/>
    </xf>
    <xf numFmtId="0" fontId="1" fillId="29" borderId="1" xfId="113" applyFill="1" applyBorder="1" applyAlignment="1">
      <alignment horizontal="center" vertical="center" wrapText="1"/>
    </xf>
    <xf numFmtId="0" fontId="1" fillId="29" borderId="1" xfId="113" applyFill="1" applyBorder="1"/>
    <xf numFmtId="0" fontId="1" fillId="2" borderId="4" xfId="113" applyFill="1" applyBorder="1"/>
    <xf numFmtId="0" fontId="1" fillId="29" borderId="14" xfId="113" applyFill="1" applyBorder="1" applyAlignment="1">
      <alignment horizontal="center" vertical="center" wrapText="1"/>
    </xf>
    <xf numFmtId="0" fontId="1" fillId="29" borderId="14" xfId="113" applyFill="1" applyBorder="1"/>
    <xf numFmtId="0" fontId="47" fillId="2" borderId="20" xfId="113" applyFont="1" applyFill="1" applyBorder="1" applyAlignment="1">
      <alignment horizontal="center" vertical="center" wrapText="1"/>
    </xf>
    <xf numFmtId="0" fontId="1" fillId="2" borderId="13" xfId="113" applyFill="1" applyBorder="1"/>
    <xf numFmtId="0" fontId="1" fillId="0" borderId="8" xfId="113" applyBorder="1" applyAlignment="1">
      <alignment horizontal="center" vertical="center"/>
    </xf>
    <xf numFmtId="0" fontId="1" fillId="0" borderId="15" xfId="113" applyBorder="1" applyAlignment="1">
      <alignment vertical="center" wrapText="1"/>
    </xf>
    <xf numFmtId="0" fontId="1" fillId="0" borderId="4" xfId="113" applyBorder="1" applyAlignment="1">
      <alignment horizontal="center" vertical="center"/>
    </xf>
    <xf numFmtId="0" fontId="1" fillId="2" borderId="18" xfId="113" applyFill="1" applyBorder="1" applyAlignment="1">
      <alignment horizontal="center"/>
    </xf>
    <xf numFmtId="0" fontId="31" fillId="0" borderId="18" xfId="113" applyFont="1" applyBorder="1" applyAlignment="1">
      <alignment horizontal="center" vertical="center" wrapText="1"/>
    </xf>
    <xf numFmtId="0" fontId="31" fillId="0" borderId="14" xfId="113" applyFont="1" applyBorder="1" applyAlignment="1">
      <alignment horizontal="center" vertical="center" wrapText="1"/>
    </xf>
    <xf numFmtId="0" fontId="1" fillId="0" borderId="21" xfId="113" applyBorder="1" applyAlignment="1">
      <alignment horizontal="center"/>
    </xf>
    <xf numFmtId="0" fontId="1" fillId="2" borderId="8" xfId="113" applyFill="1" applyBorder="1" applyAlignment="1">
      <alignment horizontal="center"/>
    </xf>
    <xf numFmtId="0" fontId="1" fillId="2" borderId="1" xfId="113" applyFill="1" applyBorder="1" applyAlignment="1">
      <alignment horizontal="center" vertical="center" wrapText="1"/>
    </xf>
    <xf numFmtId="0" fontId="1" fillId="2" borderId="1" xfId="113" applyFill="1" applyBorder="1"/>
    <xf numFmtId="0" fontId="1" fillId="2" borderId="14" xfId="113" applyFill="1" applyBorder="1" applyAlignment="1">
      <alignment horizontal="center" vertical="center" wrapText="1"/>
    </xf>
    <xf numFmtId="0" fontId="1" fillId="2" borderId="14" xfId="113" applyFill="1" applyBorder="1"/>
    <xf numFmtId="0" fontId="1" fillId="0" borderId="49" xfId="113" applyBorder="1" applyAlignment="1">
      <alignment horizontal="center" vertical="center" wrapText="1"/>
    </xf>
    <xf numFmtId="0" fontId="1" fillId="0" borderId="49" xfId="113" applyBorder="1"/>
    <xf numFmtId="0" fontId="1" fillId="10" borderId="49" xfId="113" applyFill="1" applyBorder="1"/>
    <xf numFmtId="0" fontId="1" fillId="0" borderId="50" xfId="113" applyBorder="1" applyAlignment="1">
      <alignment horizontal="center" vertical="center" wrapText="1"/>
    </xf>
    <xf numFmtId="0" fontId="47" fillId="0" borderId="51" xfId="113" applyFont="1" applyBorder="1" applyAlignment="1">
      <alignment horizontal="center" vertical="center" wrapText="1"/>
    </xf>
    <xf numFmtId="0" fontId="1" fillId="0" borderId="52" xfId="113" applyBorder="1" applyAlignment="1">
      <alignment horizontal="center"/>
    </xf>
    <xf numFmtId="0" fontId="1" fillId="0" borderId="52" xfId="113" applyBorder="1"/>
    <xf numFmtId="0" fontId="1" fillId="5" borderId="14" xfId="113" applyFill="1" applyBorder="1" applyAlignment="1">
      <alignment horizontal="center" vertical="center" wrapText="1"/>
    </xf>
    <xf numFmtId="0" fontId="1" fillId="0" borderId="53" xfId="113" applyBorder="1" applyAlignment="1">
      <alignment horizontal="center" vertical="center" wrapText="1"/>
    </xf>
    <xf numFmtId="0" fontId="1" fillId="0" borderId="50" xfId="113" applyBorder="1"/>
    <xf numFmtId="0" fontId="1" fillId="0" borderId="51" xfId="113" applyBorder="1"/>
    <xf numFmtId="0" fontId="1" fillId="0" borderId="6" xfId="113" applyBorder="1" applyAlignment="1">
      <alignment horizontal="center"/>
    </xf>
    <xf numFmtId="0" fontId="31" fillId="0" borderId="6" xfId="113" applyFont="1" applyBorder="1" applyAlignment="1">
      <alignment horizontal="center" vertical="center" wrapText="1"/>
    </xf>
    <xf numFmtId="0" fontId="31" fillId="0" borderId="54" xfId="113" applyFont="1" applyBorder="1" applyAlignment="1">
      <alignment horizontal="center" vertical="center" wrapText="1"/>
    </xf>
    <xf numFmtId="0" fontId="1" fillId="0" borderId="3" xfId="113" applyBorder="1"/>
    <xf numFmtId="0" fontId="1" fillId="0" borderId="5" xfId="113" applyBorder="1"/>
    <xf numFmtId="0" fontId="1" fillId="0" borderId="55" xfId="113" applyBorder="1"/>
    <xf numFmtId="0" fontId="47" fillId="0" borderId="4" xfId="113" applyFont="1" applyBorder="1" applyAlignment="1">
      <alignment horizontal="center" vertical="center" wrapText="1"/>
    </xf>
    <xf numFmtId="0" fontId="47" fillId="0" borderId="46" xfId="113" applyFont="1" applyBorder="1" applyAlignment="1">
      <alignment horizontal="center" vertical="center" wrapText="1"/>
    </xf>
    <xf numFmtId="0" fontId="1" fillId="25" borderId="21" xfId="113" applyFill="1" applyBorder="1" applyAlignment="1">
      <alignment horizontal="center"/>
    </xf>
    <xf numFmtId="0" fontId="1" fillId="25" borderId="1" xfId="113" applyFill="1" applyBorder="1" applyAlignment="1">
      <alignment horizontal="center" vertical="center" wrapText="1"/>
    </xf>
    <xf numFmtId="0" fontId="1" fillId="25" borderId="1" xfId="113" applyFill="1" applyBorder="1"/>
    <xf numFmtId="0" fontId="1" fillId="25" borderId="18" xfId="113" applyFill="1" applyBorder="1" applyAlignment="1">
      <alignment horizontal="center"/>
    </xf>
    <xf numFmtId="0" fontId="1" fillId="25" borderId="14" xfId="113" applyFill="1" applyBorder="1" applyAlignment="1">
      <alignment horizontal="center" vertical="center" wrapText="1"/>
    </xf>
    <xf numFmtId="0" fontId="1" fillId="25" borderId="14" xfId="113" applyFill="1" applyBorder="1"/>
    <xf numFmtId="0" fontId="1" fillId="29" borderId="21" xfId="113" applyFill="1" applyBorder="1" applyAlignment="1">
      <alignment horizontal="center"/>
    </xf>
    <xf numFmtId="0" fontId="1" fillId="10" borderId="21" xfId="113" applyFill="1" applyBorder="1" applyAlignment="1">
      <alignment horizontal="center" vertical="center"/>
    </xf>
    <xf numFmtId="167" fontId="1" fillId="10" borderId="21" xfId="113" applyNumberFormat="1" applyFill="1" applyBorder="1" applyAlignment="1">
      <alignment horizontal="center" vertical="center" wrapText="1"/>
    </xf>
    <xf numFmtId="0" fontId="1" fillId="10" borderId="1" xfId="113" applyFill="1" applyBorder="1" applyAlignment="1">
      <alignment horizontal="center" vertical="center" wrapText="1"/>
    </xf>
    <xf numFmtId="0" fontId="1" fillId="10" borderId="1" xfId="113" applyFill="1" applyBorder="1" applyAlignment="1">
      <alignment vertical="center"/>
    </xf>
    <xf numFmtId="0" fontId="1" fillId="10" borderId="18" xfId="113" applyFill="1" applyBorder="1" applyAlignment="1">
      <alignment horizontal="center"/>
    </xf>
    <xf numFmtId="0" fontId="1" fillId="10" borderId="14" xfId="113" applyFill="1" applyBorder="1" applyAlignment="1">
      <alignment horizontal="center" vertical="center" wrapText="1"/>
    </xf>
    <xf numFmtId="0" fontId="1" fillId="25" borderId="1" xfId="113" applyFill="1" applyBorder="1" applyAlignment="1">
      <alignment vertical="center"/>
    </xf>
    <xf numFmtId="0" fontId="1" fillId="25" borderId="53" xfId="113" applyFill="1" applyBorder="1" applyAlignment="1">
      <alignment horizontal="center" vertical="center"/>
    </xf>
    <xf numFmtId="0" fontId="1" fillId="25" borderId="14" xfId="113" applyFill="1" applyBorder="1" applyAlignment="1">
      <alignment vertical="center"/>
    </xf>
    <xf numFmtId="0" fontId="1" fillId="25" borderId="53" xfId="113" applyFill="1" applyBorder="1" applyAlignment="1">
      <alignment horizontal="center"/>
    </xf>
    <xf numFmtId="0" fontId="1" fillId="25" borderId="49" xfId="113" applyFill="1" applyBorder="1" applyAlignment="1">
      <alignment horizontal="center" vertical="center" wrapText="1"/>
    </xf>
    <xf numFmtId="0" fontId="1" fillId="25" borderId="49" xfId="113" applyFill="1" applyBorder="1"/>
    <xf numFmtId="0" fontId="47" fillId="0" borderId="50" xfId="113" applyFont="1" applyBorder="1" applyAlignment="1">
      <alignment horizontal="center" vertical="center" wrapText="1"/>
    </xf>
    <xf numFmtId="0" fontId="1" fillId="31" borderId="0" xfId="113" applyFill="1" applyAlignment="1">
      <alignment horizontal="center"/>
    </xf>
    <xf numFmtId="0" fontId="1" fillId="31" borderId="0" xfId="113" applyFill="1"/>
    <xf numFmtId="0" fontId="1" fillId="0" borderId="25" xfId="113" applyBorder="1" applyAlignment="1">
      <alignment horizontal="center"/>
    </xf>
    <xf numFmtId="0" fontId="1" fillId="0" borderId="25" xfId="113" applyBorder="1"/>
    <xf numFmtId="15" fontId="1" fillId="28" borderId="0" xfId="113" applyNumberFormat="1" applyFill="1"/>
    <xf numFmtId="0" fontId="1" fillId="10" borderId="21" xfId="113" applyFill="1" applyBorder="1" applyAlignment="1">
      <alignment horizontal="center"/>
    </xf>
    <xf numFmtId="0" fontId="1" fillId="10" borderId="1" xfId="113" applyFill="1" applyBorder="1"/>
    <xf numFmtId="0" fontId="1" fillId="5" borderId="21" xfId="113" applyFill="1" applyBorder="1"/>
    <xf numFmtId="0" fontId="1" fillId="18" borderId="14" xfId="113" applyFill="1" applyBorder="1" applyAlignment="1">
      <alignment horizontal="center" vertical="center" wrapText="1"/>
    </xf>
    <xf numFmtId="0" fontId="1" fillId="18" borderId="14" xfId="113" applyFill="1" applyBorder="1"/>
    <xf numFmtId="0" fontId="1" fillId="28" borderId="17" xfId="113" applyFill="1" applyBorder="1"/>
    <xf numFmtId="0" fontId="31" fillId="0" borderId="15" xfId="113" applyFont="1" applyBorder="1" applyAlignment="1">
      <alignment horizontal="center" vertical="center" wrapText="1"/>
    </xf>
    <xf numFmtId="39" fontId="48" fillId="10" borderId="15" xfId="31" applyNumberFormat="1" applyFont="1" applyFill="1" applyBorder="1" applyAlignment="1">
      <alignment horizontal="center" vertical="center"/>
    </xf>
    <xf numFmtId="0" fontId="34" fillId="10" borderId="4" xfId="113" applyFont="1" applyFill="1" applyBorder="1" applyAlignment="1">
      <alignment horizontal="left" vertical="center"/>
    </xf>
    <xf numFmtId="39" fontId="48" fillId="10" borderId="1" xfId="31" applyNumberFormat="1" applyFont="1" applyFill="1" applyBorder="1" applyAlignment="1">
      <alignment horizontal="center" vertical="center"/>
    </xf>
    <xf numFmtId="39" fontId="34" fillId="10" borderId="1" xfId="31" applyNumberFormat="1" applyFont="1" applyFill="1" applyBorder="1" applyAlignment="1">
      <alignment horizontal="center" vertical="center"/>
    </xf>
    <xf numFmtId="0" fontId="1" fillId="10" borderId="21" xfId="113" applyFill="1" applyBorder="1" applyAlignment="1">
      <alignment horizontal="center" vertical="center" wrapText="1"/>
    </xf>
    <xf numFmtId="0" fontId="31" fillId="0" borderId="17" xfId="113" applyFont="1" applyBorder="1" applyAlignment="1">
      <alignment vertical="center" wrapText="1"/>
    </xf>
    <xf numFmtId="0" fontId="1" fillId="28" borderId="14" xfId="113" applyFill="1" applyBorder="1" applyAlignment="1">
      <alignment horizontal="center" vertical="center" wrapText="1"/>
    </xf>
    <xf numFmtId="0" fontId="1" fillId="5" borderId="14" xfId="113" applyFill="1" applyBorder="1"/>
    <xf numFmtId="0" fontId="1" fillId="25" borderId="53" xfId="113" applyFill="1" applyBorder="1" applyAlignment="1">
      <alignment horizontal="center" vertical="center" wrapText="1"/>
    </xf>
    <xf numFmtId="0" fontId="1" fillId="0" borderId="50" xfId="113" applyBorder="1" applyAlignment="1">
      <alignment horizontal="center" vertical="center"/>
    </xf>
    <xf numFmtId="0" fontId="1" fillId="2" borderId="0" xfId="113" applyFill="1"/>
    <xf numFmtId="0" fontId="43" fillId="0" borderId="0" xfId="113" applyFont="1" applyAlignment="1">
      <alignment horizontal="center"/>
    </xf>
    <xf numFmtId="4" fontId="15" fillId="33" borderId="14" xfId="0" applyNumberFormat="1" applyFont="1" applyFill="1" applyBorder="1" applyAlignment="1">
      <alignment horizontal="center"/>
    </xf>
    <xf numFmtId="4" fontId="15" fillId="33" borderId="18" xfId="0" applyNumberFormat="1" applyFont="1" applyFill="1" applyBorder="1" applyAlignment="1">
      <alignment horizontal="center"/>
    </xf>
    <xf numFmtId="4" fontId="12" fillId="33" borderId="15" xfId="0" applyNumberFormat="1" applyFont="1" applyFill="1" applyBorder="1" applyAlignment="1">
      <alignment horizontal="center" vertical="top"/>
    </xf>
    <xf numFmtId="4" fontId="12" fillId="33" borderId="8" xfId="0" applyNumberFormat="1" applyFont="1" applyFill="1" applyBorder="1" applyAlignment="1">
      <alignment horizontal="center" vertical="top"/>
    </xf>
    <xf numFmtId="4" fontId="49" fillId="18" borderId="14" xfId="0" applyNumberFormat="1" applyFont="1" applyFill="1" applyBorder="1" applyAlignment="1">
      <alignment horizontal="center"/>
    </xf>
    <xf numFmtId="4" fontId="49" fillId="18" borderId="18" xfId="0" applyNumberFormat="1" applyFont="1" applyFill="1" applyBorder="1" applyAlignment="1">
      <alignment horizontal="center"/>
    </xf>
    <xf numFmtId="4" fontId="50" fillId="18" borderId="15" xfId="0" applyNumberFormat="1" applyFont="1" applyFill="1" applyBorder="1" applyAlignment="1">
      <alignment horizontal="center" vertical="top"/>
    </xf>
    <xf numFmtId="4" fontId="50" fillId="18" borderId="8" xfId="0" applyNumberFormat="1" applyFont="1" applyFill="1" applyBorder="1" applyAlignment="1">
      <alignment horizontal="center" vertical="top"/>
    </xf>
    <xf numFmtId="165" fontId="17" fillId="2" borderId="0" xfId="1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vertical="center"/>
    </xf>
    <xf numFmtId="0" fontId="15" fillId="8" borderId="1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4" fontId="15" fillId="2" borderId="0" xfId="1" applyNumberFormat="1" applyFont="1" applyFill="1" applyBorder="1" applyAlignment="1">
      <alignment horizontal="center" vertical="center" wrapText="1"/>
    </xf>
    <xf numFmtId="4" fontId="12" fillId="2" borderId="19" xfId="1" applyNumberFormat="1" applyFont="1" applyFill="1" applyBorder="1" applyAlignment="1">
      <alignment horizontal="center" vertical="center" wrapText="1"/>
    </xf>
    <xf numFmtId="10" fontId="12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/>
    </xf>
    <xf numFmtId="4" fontId="12" fillId="2" borderId="0" xfId="1" applyNumberFormat="1" applyFont="1" applyFill="1" applyBorder="1" applyAlignment="1">
      <alignment horizontal="center" vertical="center" wrapText="1"/>
    </xf>
    <xf numFmtId="4" fontId="15" fillId="8" borderId="1" xfId="0" applyNumberFormat="1" applyFont="1" applyFill="1" applyBorder="1" applyAlignment="1">
      <alignment horizontal="center"/>
    </xf>
    <xf numFmtId="4" fontId="15" fillId="8" borderId="21" xfId="0" applyNumberFormat="1" applyFont="1" applyFill="1" applyBorder="1" applyAlignment="1">
      <alignment horizontal="center"/>
    </xf>
    <xf numFmtId="2" fontId="12" fillId="11" borderId="1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4" fontId="9" fillId="5" borderId="18" xfId="0" applyNumberFormat="1" applyFont="1" applyFill="1" applyBorder="1" applyAlignment="1">
      <alignment horizontal="center" vertical="center"/>
    </xf>
    <xf numFmtId="4" fontId="16" fillId="5" borderId="8" xfId="0" applyNumberFormat="1" applyFont="1" applyFill="1" applyBorder="1" applyAlignment="1">
      <alignment horizontal="center" vertical="top"/>
    </xf>
    <xf numFmtId="0" fontId="12" fillId="0" borderId="21" xfId="0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9" fillId="0" borderId="18" xfId="0" applyNumberFormat="1" applyFont="1" applyBorder="1" applyAlignment="1">
      <alignment horizontal="center" vertical="center"/>
    </xf>
    <xf numFmtId="4" fontId="14" fillId="2" borderId="1" xfId="1" applyNumberFormat="1" applyFont="1" applyFill="1" applyBorder="1" applyAlignment="1">
      <alignment horizontal="center" vertical="center" wrapText="1"/>
    </xf>
    <xf numFmtId="4" fontId="13" fillId="2" borderId="1" xfId="0" applyNumberFormat="1" applyFont="1" applyFill="1" applyBorder="1" applyAlignment="1">
      <alignment horizontal="center" vertical="center" wrapText="1"/>
    </xf>
    <xf numFmtId="4" fontId="14" fillId="0" borderId="1" xfId="1" applyNumberFormat="1" applyFont="1" applyFill="1" applyBorder="1" applyAlignment="1">
      <alignment horizontal="center" vertical="center" wrapText="1"/>
    </xf>
    <xf numFmtId="4" fontId="13" fillId="0" borderId="1" xfId="0" applyNumberFormat="1" applyFont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2" fontId="12" fillId="8" borderId="13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4" fontId="9" fillId="5" borderId="20" xfId="0" applyNumberFormat="1" applyFont="1" applyFill="1" applyBorder="1" applyAlignment="1">
      <alignment horizontal="center"/>
    </xf>
    <xf numFmtId="4" fontId="16" fillId="5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/>
    </xf>
    <xf numFmtId="4" fontId="12" fillId="8" borderId="4" xfId="0" applyNumberFormat="1" applyFont="1" applyFill="1" applyBorder="1" applyAlignment="1">
      <alignment horizontal="center" vertical="top"/>
    </xf>
    <xf numFmtId="4" fontId="49" fillId="18" borderId="20" xfId="0" applyNumberFormat="1" applyFont="1" applyFill="1" applyBorder="1" applyAlignment="1">
      <alignment horizontal="center"/>
    </xf>
    <xf numFmtId="4" fontId="50" fillId="18" borderId="13" xfId="0" applyNumberFormat="1" applyFont="1" applyFill="1" applyBorder="1" applyAlignment="1">
      <alignment horizontal="center" vertical="top"/>
    </xf>
    <xf numFmtId="4" fontId="15" fillId="33" borderId="20" xfId="0" applyNumberFormat="1" applyFont="1" applyFill="1" applyBorder="1" applyAlignment="1">
      <alignment horizontal="center"/>
    </xf>
    <xf numFmtId="4" fontId="12" fillId="33" borderId="13" xfId="0" applyNumberFormat="1" applyFont="1" applyFill="1" applyBorder="1" applyAlignment="1">
      <alignment horizontal="center" vertical="top"/>
    </xf>
    <xf numFmtId="4" fontId="15" fillId="9" borderId="20" xfId="0" applyNumberFormat="1" applyFont="1" applyFill="1" applyBorder="1" applyAlignment="1">
      <alignment horizontal="center"/>
    </xf>
    <xf numFmtId="4" fontId="12" fillId="9" borderId="13" xfId="0" applyNumberFormat="1" applyFont="1" applyFill="1" applyBorder="1" applyAlignment="1">
      <alignment horizontal="center" vertical="top"/>
    </xf>
    <xf numFmtId="4" fontId="9" fillId="5" borderId="20" xfId="0" applyNumberFormat="1" applyFont="1" applyFill="1" applyBorder="1" applyAlignment="1">
      <alignment horizontal="center" vertical="center"/>
    </xf>
    <xf numFmtId="4" fontId="16" fillId="5" borderId="13" xfId="0" applyNumberFormat="1" applyFont="1" applyFill="1" applyBorder="1" applyAlignment="1">
      <alignment horizontal="center" vertical="center"/>
    </xf>
    <xf numFmtId="4" fontId="14" fillId="5" borderId="20" xfId="0" applyNumberFormat="1" applyFont="1" applyFill="1" applyBorder="1" applyAlignment="1">
      <alignment horizontal="center"/>
    </xf>
    <xf numFmtId="4" fontId="15" fillId="9" borderId="20" xfId="0" applyNumberFormat="1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9" borderId="4" xfId="0" quotePrefix="1" applyFont="1" applyFill="1" applyBorder="1" applyAlignment="1">
      <alignment horizontal="center" vertical="center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 wrapText="1"/>
    </xf>
    <xf numFmtId="9" fontId="18" fillId="0" borderId="1" xfId="1" applyNumberFormat="1" applyFont="1" applyFill="1" applyBorder="1" applyAlignment="1">
      <alignment horizontal="center" vertical="center" wrapText="1"/>
    </xf>
    <xf numFmtId="9" fontId="9" fillId="0" borderId="1" xfId="1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/>
    </xf>
    <xf numFmtId="0" fontId="15" fillId="8" borderId="1" xfId="0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2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4" fontId="12" fillId="0" borderId="4" xfId="0" applyNumberFormat="1" applyFont="1" applyBorder="1" applyAlignment="1">
      <alignment horizontal="center" vertical="center"/>
    </xf>
    <xf numFmtId="4" fontId="12" fillId="2" borderId="4" xfId="0" applyNumberFormat="1" applyFont="1" applyFill="1" applyBorder="1" applyAlignment="1">
      <alignment horizontal="center" vertical="center"/>
    </xf>
    <xf numFmtId="4" fontId="12" fillId="0" borderId="4" xfId="0" applyNumberFormat="1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2" fillId="0" borderId="4" xfId="1" applyNumberFormat="1" applyFont="1" applyFill="1" applyBorder="1" applyAlignment="1">
      <alignment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4" fontId="12" fillId="13" borderId="15" xfId="0" applyNumberFormat="1" applyFont="1" applyFill="1" applyBorder="1" applyAlignment="1">
      <alignment horizontal="center" vertical="center"/>
    </xf>
    <xf numFmtId="4" fontId="12" fillId="13" borderId="7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left"/>
    </xf>
    <xf numFmtId="0" fontId="12" fillId="0" borderId="18" xfId="0" applyFont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" fontId="14" fillId="16" borderId="1" xfId="1" applyNumberFormat="1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4" fontId="12" fillId="0" borderId="19" xfId="1" applyNumberFormat="1" applyFont="1" applyFill="1" applyBorder="1" applyAlignment="1">
      <alignment horizontal="center" vertical="center" wrapText="1"/>
    </xf>
    <xf numFmtId="4" fontId="12" fillId="0" borderId="7" xfId="1" applyNumberFormat="1" applyFont="1" applyFill="1" applyBorder="1" applyAlignment="1">
      <alignment horizontal="center" vertical="center" wrapText="1"/>
    </xf>
    <xf numFmtId="10" fontId="12" fillId="0" borderId="19" xfId="1" applyNumberFormat="1" applyFont="1" applyFill="1" applyBorder="1" applyAlignment="1">
      <alignment horizontal="center" vertical="center" wrapText="1"/>
    </xf>
    <xf numFmtId="10" fontId="12" fillId="0" borderId="7" xfId="1" applyNumberFormat="1" applyFont="1" applyFill="1" applyBorder="1" applyAlignment="1">
      <alignment horizontal="center" vertical="center" wrapText="1"/>
    </xf>
    <xf numFmtId="4" fontId="15" fillId="0" borderId="19" xfId="1" applyNumberFormat="1" applyFont="1" applyFill="1" applyBorder="1" applyAlignment="1">
      <alignment horizontal="center" vertical="center" wrapText="1"/>
    </xf>
    <xf numFmtId="4" fontId="15" fillId="0" borderId="0" xfId="1" applyNumberFormat="1" applyFont="1" applyFill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2" fontId="12" fillId="0" borderId="8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 wrapText="1"/>
    </xf>
    <xf numFmtId="2" fontId="12" fillId="0" borderId="7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4" fontId="8" fillId="9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0" xfId="0" quotePrefix="1" applyFont="1" applyAlignment="1">
      <alignment horizontal="center" vertical="center"/>
    </xf>
    <xf numFmtId="0" fontId="12" fillId="0" borderId="0" xfId="1" applyNumberFormat="1" applyFont="1" applyFill="1" applyBorder="1" applyAlignment="1">
      <alignment vertical="center" wrapText="1"/>
    </xf>
    <xf numFmtId="4" fontId="9" fillId="0" borderId="0" xfId="0" applyNumberFormat="1" applyFont="1" applyAlignment="1">
      <alignment horizontal="center" vertical="center"/>
    </xf>
    <xf numFmtId="4" fontId="12" fillId="0" borderId="8" xfId="0" applyNumberFormat="1" applyFont="1" applyBorder="1" applyAlignment="1">
      <alignment horizontal="center" vertical="top"/>
    </xf>
    <xf numFmtId="0" fontId="12" fillId="0" borderId="21" xfId="0" applyFont="1" applyBorder="1" applyAlignment="1">
      <alignment horizontal="center" vertical="center" wrapText="1"/>
    </xf>
    <xf numFmtId="0" fontId="12" fillId="9" borderId="14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/>
    </xf>
    <xf numFmtId="0" fontId="12" fillId="9" borderId="1" xfId="1" applyNumberFormat="1" applyFont="1" applyFill="1" applyBorder="1" applyAlignment="1">
      <alignment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9" borderId="1" xfId="0" quotePrefix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2" fontId="12" fillId="11" borderId="1" xfId="0" applyNumberFormat="1" applyFont="1" applyFill="1" applyBorder="1" applyAlignment="1">
      <alignment horizontal="center" vertical="center"/>
    </xf>
    <xf numFmtId="2" fontId="12" fillId="11" borderId="4" xfId="0" applyNumberFormat="1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 wrapText="1"/>
    </xf>
    <xf numFmtId="0" fontId="12" fillId="11" borderId="15" xfId="0" applyFont="1" applyFill="1" applyBorder="1" applyAlignment="1">
      <alignment horizontal="center" vertical="center"/>
    </xf>
    <xf numFmtId="4" fontId="8" fillId="9" borderId="17" xfId="0" applyNumberFormat="1" applyFont="1" applyFill="1" applyBorder="1" applyAlignment="1">
      <alignment horizontal="center" vertical="center" wrapText="1"/>
    </xf>
    <xf numFmtId="0" fontId="53" fillId="8" borderId="2" xfId="0" applyFont="1" applyFill="1" applyBorder="1" applyAlignment="1">
      <alignment horizontal="center" vertical="center"/>
    </xf>
    <xf numFmtId="0" fontId="54" fillId="5" borderId="24" xfId="0" applyFont="1" applyFill="1" applyBorder="1" applyAlignment="1">
      <alignment horizontal="center" vertical="center"/>
    </xf>
    <xf numFmtId="0" fontId="55" fillId="17" borderId="2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2" fontId="51" fillId="0" borderId="0" xfId="0" applyNumberFormat="1" applyFont="1" applyAlignment="1">
      <alignment vertical="center"/>
    </xf>
    <xf numFmtId="4" fontId="16" fillId="0" borderId="21" xfId="0" applyNumberFormat="1" applyFont="1" applyBorder="1" applyAlignment="1">
      <alignment horizontal="center" vertical="top"/>
    </xf>
    <xf numFmtId="4" fontId="12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Border="1" applyAlignment="1">
      <alignment horizontal="center" vertical="center" wrapText="1"/>
    </xf>
    <xf numFmtId="9" fontId="12" fillId="0" borderId="0" xfId="2" applyFont="1" applyFill="1" applyBorder="1" applyAlignment="1">
      <alignment horizontal="center" vertical="center" wrapText="1"/>
    </xf>
    <xf numFmtId="4" fontId="10" fillId="0" borderId="19" xfId="0" applyNumberFormat="1" applyFont="1" applyBorder="1"/>
    <xf numFmtId="0" fontId="8" fillId="0" borderId="0" xfId="0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21" fillId="9" borderId="17" xfId="0" applyNumberFormat="1" applyFont="1" applyFill="1" applyBorder="1" applyAlignment="1">
      <alignment horizontal="center" vertical="center" wrapText="1"/>
    </xf>
    <xf numFmtId="0" fontId="12" fillId="32" borderId="4" xfId="0" applyFont="1" applyFill="1" applyBorder="1" applyAlignment="1">
      <alignment horizontal="center" vertical="center"/>
    </xf>
    <xf numFmtId="4" fontId="12" fillId="32" borderId="17" xfId="0" applyNumberFormat="1" applyFont="1" applyFill="1" applyBorder="1" applyAlignment="1">
      <alignment horizontal="center" vertical="center"/>
    </xf>
    <xf numFmtId="0" fontId="12" fillId="32" borderId="17" xfId="0" applyFont="1" applyFill="1" applyBorder="1" applyAlignment="1">
      <alignment horizontal="center" vertical="center"/>
    </xf>
    <xf numFmtId="0" fontId="12" fillId="32" borderId="14" xfId="0" applyFont="1" applyFill="1" applyBorder="1" applyAlignment="1">
      <alignment horizontal="center" vertical="center"/>
    </xf>
    <xf numFmtId="4" fontId="12" fillId="0" borderId="7" xfId="0" applyNumberFormat="1" applyFont="1" applyBorder="1" applyAlignment="1">
      <alignment horizontal="center" vertical="top"/>
    </xf>
    <xf numFmtId="0" fontId="9" fillId="2" borderId="21" xfId="0" applyFont="1" applyFill="1" applyBorder="1"/>
    <xf numFmtId="0" fontId="8" fillId="7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0" fontId="13" fillId="0" borderId="0" xfId="2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top"/>
    </xf>
    <xf numFmtId="10" fontId="24" fillId="0" borderId="0" xfId="2" applyNumberFormat="1" applyFont="1" applyFill="1" applyBorder="1" applyAlignment="1">
      <alignment horizontal="center" vertical="top"/>
    </xf>
    <xf numFmtId="0" fontId="23" fillId="0" borderId="0" xfId="0" applyFont="1" applyAlignment="1">
      <alignment horizontal="right" vertical="center"/>
    </xf>
    <xf numFmtId="4" fontId="23" fillId="0" borderId="0" xfId="0" applyNumberFormat="1" applyFont="1" applyAlignment="1">
      <alignment vertical="center"/>
    </xf>
    <xf numFmtId="10" fontId="23" fillId="0" borderId="0" xfId="2" applyNumberFormat="1" applyFont="1" applyFill="1" applyBorder="1" applyAlignment="1">
      <alignment horizontal="center" vertical="center"/>
    </xf>
    <xf numFmtId="2" fontId="23" fillId="0" borderId="0" xfId="0" applyNumberFormat="1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64" fontId="13" fillId="0" borderId="17" xfId="112" applyFont="1" applyBorder="1" applyAlignment="1">
      <alignment horizontal="right" vertical="center"/>
    </xf>
    <xf numFmtId="4" fontId="13" fillId="0" borderId="17" xfId="1" applyNumberFormat="1" applyFont="1" applyBorder="1" applyAlignment="1">
      <alignment horizontal="right" vertical="center"/>
    </xf>
    <xf numFmtId="10" fontId="13" fillId="0" borderId="17" xfId="1" applyNumberFormat="1" applyFont="1" applyBorder="1" applyAlignment="1">
      <alignment horizontal="right" vertical="center"/>
    </xf>
    <xf numFmtId="4" fontId="13" fillId="14" borderId="17" xfId="1" applyNumberFormat="1" applyFont="1" applyFill="1" applyBorder="1" applyAlignment="1">
      <alignment horizontal="right" vertical="center"/>
    </xf>
    <xf numFmtId="10" fontId="13" fillId="14" borderId="17" xfId="1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left" vertical="center" indent="1"/>
    </xf>
    <xf numFmtId="4" fontId="12" fillId="13" borderId="10" xfId="0" applyNumberFormat="1" applyFont="1" applyFill="1" applyBorder="1" applyAlignment="1">
      <alignment horizontal="center" vertical="center"/>
    </xf>
    <xf numFmtId="4" fontId="12" fillId="13" borderId="16" xfId="0" applyNumberFormat="1" applyFont="1" applyFill="1" applyBorder="1" applyAlignment="1">
      <alignment horizontal="center" vertical="center"/>
    </xf>
    <xf numFmtId="4" fontId="13" fillId="14" borderId="23" xfId="1" applyNumberFormat="1" applyFont="1" applyFill="1" applyBorder="1" applyAlignment="1">
      <alignment horizontal="right" vertical="center"/>
    </xf>
    <xf numFmtId="10" fontId="13" fillId="14" borderId="23" xfId="1" applyNumberFormat="1" applyFont="1" applyFill="1" applyBorder="1" applyAlignment="1">
      <alignment horizontal="right" vertical="center"/>
    </xf>
    <xf numFmtId="4" fontId="13" fillId="14" borderId="15" xfId="0" applyNumberFormat="1" applyFont="1" applyFill="1" applyBorder="1" applyAlignment="1">
      <alignment vertical="center"/>
    </xf>
    <xf numFmtId="4" fontId="13" fillId="0" borderId="15" xfId="1" applyNumberFormat="1" applyFont="1" applyBorder="1" applyAlignment="1">
      <alignment horizontal="right" vertical="center"/>
    </xf>
    <xf numFmtId="164" fontId="13" fillId="0" borderId="15" xfId="112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right" vertical="center"/>
    </xf>
    <xf numFmtId="164" fontId="13" fillId="0" borderId="14" xfId="112" applyFont="1" applyBorder="1" applyAlignment="1">
      <alignment horizontal="right" vertical="center"/>
    </xf>
    <xf numFmtId="4" fontId="12" fillId="13" borderId="7" xfId="0" applyNumberFormat="1" applyFont="1" applyFill="1" applyBorder="1" applyAlignment="1">
      <alignment horizontal="left" vertical="center"/>
    </xf>
    <xf numFmtId="4" fontId="12" fillId="13" borderId="7" xfId="0" applyNumberFormat="1" applyFont="1" applyFill="1" applyBorder="1" applyAlignment="1">
      <alignment vertical="center"/>
    </xf>
    <xf numFmtId="4" fontId="12" fillId="13" borderId="11" xfId="0" applyNumberFormat="1" applyFont="1" applyFill="1" applyBorder="1" applyAlignment="1">
      <alignment horizontal="left" vertical="center"/>
    </xf>
    <xf numFmtId="10" fontId="56" fillId="14" borderId="17" xfId="1" applyNumberFormat="1" applyFont="1" applyFill="1" applyBorder="1" applyAlignment="1">
      <alignment horizontal="right" vertical="center"/>
    </xf>
    <xf numFmtId="4" fontId="30" fillId="20" borderId="28" xfId="0" applyNumberFormat="1" applyFont="1" applyFill="1" applyBorder="1" applyAlignment="1">
      <alignment horizontal="center" vertical="center" wrapText="1"/>
    </xf>
    <xf numFmtId="4" fontId="29" fillId="21" borderId="28" xfId="0" applyNumberFormat="1" applyFont="1" applyFill="1" applyBorder="1" applyAlignment="1">
      <alignment horizontal="center" vertical="center" wrapText="1" readingOrder="1"/>
    </xf>
    <xf numFmtId="10" fontId="13" fillId="0" borderId="14" xfId="2" applyNumberFormat="1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top"/>
    </xf>
    <xf numFmtId="0" fontId="13" fillId="0" borderId="0" xfId="0" applyFont="1" applyAlignment="1">
      <alignment horizontal="left" vertical="center" indent="1"/>
    </xf>
    <xf numFmtId="10" fontId="13" fillId="0" borderId="0" xfId="2" applyNumberFormat="1" applyFont="1" applyFill="1" applyBorder="1" applyAlignment="1">
      <alignment horizontal="center" vertical="center"/>
    </xf>
    <xf numFmtId="0" fontId="13" fillId="13" borderId="17" xfId="0" applyFont="1" applyFill="1" applyBorder="1" applyAlignment="1">
      <alignment horizontal="center" vertical="center" wrapText="1"/>
    </xf>
    <xf numFmtId="9" fontId="9" fillId="16" borderId="17" xfId="1" applyNumberFormat="1" applyFont="1" applyFill="1" applyBorder="1" applyAlignment="1">
      <alignment horizontal="center" vertical="center" wrapText="1"/>
    </xf>
    <xf numFmtId="4" fontId="14" fillId="16" borderId="14" xfId="1" applyNumberFormat="1" applyFont="1" applyFill="1" applyBorder="1" applyAlignment="1">
      <alignment horizontal="center" vertical="center" wrapText="1"/>
    </xf>
    <xf numFmtId="4" fontId="14" fillId="16" borderId="15" xfId="1" applyNumberFormat="1" applyFont="1" applyFill="1" applyBorder="1" applyAlignment="1">
      <alignment horizontal="center" vertical="center" wrapText="1"/>
    </xf>
    <xf numFmtId="0" fontId="13" fillId="6" borderId="17" xfId="1" applyNumberFormat="1" applyFont="1" applyFill="1" applyBorder="1" applyAlignment="1">
      <alignment horizontal="center" vertical="center" wrapText="1"/>
    </xf>
    <xf numFmtId="4" fontId="13" fillId="16" borderId="14" xfId="0" applyNumberFormat="1" applyFont="1" applyFill="1" applyBorder="1" applyAlignment="1">
      <alignment horizontal="center" vertical="center" wrapText="1"/>
    </xf>
    <xf numFmtId="4" fontId="13" fillId="16" borderId="15" xfId="0" applyNumberFormat="1" applyFont="1" applyFill="1" applyBorder="1" applyAlignment="1">
      <alignment horizontal="center" vertical="center" wrapText="1"/>
    </xf>
    <xf numFmtId="4" fontId="10" fillId="16" borderId="14" xfId="0" applyNumberFormat="1" applyFont="1" applyFill="1" applyBorder="1" applyAlignment="1">
      <alignment horizontal="center" vertical="center" wrapText="1"/>
    </xf>
    <xf numFmtId="4" fontId="10" fillId="16" borderId="15" xfId="0" applyNumberFormat="1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13" fillId="6" borderId="14" xfId="1" applyNumberFormat="1" applyFont="1" applyFill="1" applyBorder="1" applyAlignment="1">
      <alignment horizontal="center" vertical="center" wrapText="1"/>
    </xf>
    <xf numFmtId="0" fontId="13" fillId="6" borderId="15" xfId="1" applyNumberFormat="1" applyFont="1" applyFill="1" applyBorder="1" applyAlignment="1">
      <alignment horizontal="center" vertical="center" wrapText="1"/>
    </xf>
    <xf numFmtId="4" fontId="9" fillId="16" borderId="14" xfId="1" applyNumberFormat="1" applyFont="1" applyFill="1" applyBorder="1" applyAlignment="1">
      <alignment horizontal="center" vertical="center" wrapText="1"/>
    </xf>
    <xf numFmtId="0" fontId="9" fillId="16" borderId="15" xfId="1" applyNumberFormat="1" applyFont="1" applyFill="1" applyBorder="1" applyAlignment="1">
      <alignment horizontal="center" vertical="center" wrapText="1"/>
    </xf>
    <xf numFmtId="4" fontId="13" fillId="16" borderId="17" xfId="0" applyNumberFormat="1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16" borderId="14" xfId="0" applyNumberFormat="1" applyFont="1" applyFill="1" applyBorder="1" applyAlignment="1">
      <alignment horizontal="center" vertical="center" wrapText="1"/>
    </xf>
    <xf numFmtId="4" fontId="14" fillId="16" borderId="15" xfId="0" applyNumberFormat="1" applyFont="1" applyFill="1" applyBorder="1" applyAlignment="1">
      <alignment horizontal="center" vertical="center" wrapText="1"/>
    </xf>
    <xf numFmtId="0" fontId="15" fillId="8" borderId="18" xfId="0" applyFont="1" applyFill="1" applyBorder="1" applyAlignment="1">
      <alignment horizontal="center" vertical="center"/>
    </xf>
    <xf numFmtId="0" fontId="15" fillId="8" borderId="19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 wrapText="1"/>
    </xf>
    <xf numFmtId="2" fontId="12" fillId="8" borderId="8" xfId="0" applyNumberFormat="1" applyFont="1" applyFill="1" applyBorder="1" applyAlignment="1">
      <alignment horizontal="center" vertical="center"/>
    </xf>
    <xf numFmtId="4" fontId="12" fillId="9" borderId="11" xfId="0" applyNumberFormat="1" applyFont="1" applyFill="1" applyBorder="1" applyAlignment="1">
      <alignment horizontal="center" vertical="center" wrapText="1"/>
    </xf>
    <xf numFmtId="4" fontId="12" fillId="9" borderId="10" xfId="0" applyNumberFormat="1" applyFont="1" applyFill="1" applyBorder="1" applyAlignment="1">
      <alignment horizontal="center" vertical="center" wrapText="1"/>
    </xf>
    <xf numFmtId="4" fontId="12" fillId="9" borderId="16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 wrapText="1"/>
    </xf>
    <xf numFmtId="0" fontId="16" fillId="5" borderId="10" xfId="0" applyFont="1" applyFill="1" applyBorder="1" applyAlignment="1">
      <alignment horizontal="center" vertical="center" wrapText="1"/>
    </xf>
    <xf numFmtId="0" fontId="16" fillId="5" borderId="16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 wrapText="1"/>
    </xf>
    <xf numFmtId="0" fontId="12" fillId="9" borderId="11" xfId="1" applyNumberFormat="1" applyFont="1" applyFill="1" applyBorder="1" applyAlignment="1">
      <alignment horizontal="center" vertical="center" wrapText="1"/>
    </xf>
    <xf numFmtId="0" fontId="12" fillId="9" borderId="16" xfId="1" applyNumberFormat="1" applyFont="1" applyFill="1" applyBorder="1" applyAlignment="1">
      <alignment horizontal="center" vertical="center" wrapText="1"/>
    </xf>
    <xf numFmtId="4" fontId="21" fillId="9" borderId="14" xfId="0" applyNumberFormat="1" applyFont="1" applyFill="1" applyBorder="1" applyAlignment="1">
      <alignment horizontal="center" vertical="center" wrapText="1"/>
    </xf>
    <xf numFmtId="4" fontId="21" fillId="9" borderId="15" xfId="0" applyNumberFormat="1" applyFont="1" applyFill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2" fillId="8" borderId="20" xfId="0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 wrapText="1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wrapText="1"/>
    </xf>
    <xf numFmtId="0" fontId="15" fillId="8" borderId="11" xfId="0" applyFont="1" applyFill="1" applyBorder="1" applyAlignment="1">
      <alignment horizontal="center" vertical="center" wrapText="1"/>
    </xf>
    <xf numFmtId="0" fontId="15" fillId="8" borderId="10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 wrapText="1"/>
    </xf>
    <xf numFmtId="2" fontId="12" fillId="8" borderId="7" xfId="0" applyNumberFormat="1" applyFont="1" applyFill="1" applyBorder="1" applyAlignment="1">
      <alignment horizontal="center" vertical="center"/>
    </xf>
    <xf numFmtId="2" fontId="12" fillId="8" borderId="13" xfId="0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9" fillId="5" borderId="11" xfId="0" applyFont="1" applyFill="1" applyBorder="1" applyAlignment="1">
      <alignment horizontal="center" vertical="center" wrapText="1"/>
    </xf>
    <xf numFmtId="0" fontId="9" fillId="5" borderId="10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 wrapText="1"/>
    </xf>
    <xf numFmtId="4" fontId="13" fillId="0" borderId="0" xfId="0" applyNumberFormat="1" applyFont="1" applyAlignment="1">
      <alignment horizontal="center" vertical="center"/>
    </xf>
    <xf numFmtId="4" fontId="9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0" fontId="9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12" fillId="33" borderId="8" xfId="0" applyNumberFormat="1" applyFont="1" applyFill="1" applyBorder="1" applyAlignment="1">
      <alignment horizontal="center" vertical="center"/>
    </xf>
    <xf numFmtId="4" fontId="12" fillId="33" borderId="7" xfId="0" applyNumberFormat="1" applyFont="1" applyFill="1" applyBorder="1" applyAlignment="1">
      <alignment horizontal="center" vertical="center"/>
    </xf>
    <xf numFmtId="4" fontId="12" fillId="33" borderId="13" xfId="0" applyNumberFormat="1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 wrapText="1"/>
    </xf>
    <xf numFmtId="4" fontId="12" fillId="8" borderId="7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9" fontId="9" fillId="16" borderId="14" xfId="1" applyNumberFormat="1" applyFont="1" applyFill="1" applyBorder="1" applyAlignment="1">
      <alignment horizontal="center" vertical="center" wrapText="1"/>
    </xf>
    <xf numFmtId="9" fontId="9" fillId="16" borderId="15" xfId="1" applyNumberFormat="1" applyFont="1" applyFill="1" applyBorder="1" applyAlignment="1">
      <alignment horizontal="center" vertical="center" wrapText="1"/>
    </xf>
    <xf numFmtId="0" fontId="13" fillId="34" borderId="14" xfId="1" applyNumberFormat="1" applyFont="1" applyFill="1" applyBorder="1" applyAlignment="1">
      <alignment horizontal="center" vertical="center" wrapText="1"/>
    </xf>
    <xf numFmtId="0" fontId="13" fillId="34" borderId="1" xfId="1" applyNumberFormat="1" applyFont="1" applyFill="1" applyBorder="1" applyAlignment="1">
      <alignment horizontal="center" vertical="center" wrapText="1"/>
    </xf>
    <xf numFmtId="0" fontId="13" fillId="34" borderId="15" xfId="1" applyNumberFormat="1" applyFont="1" applyFill="1" applyBorder="1" applyAlignment="1">
      <alignment horizontal="center" vertical="center" wrapText="1"/>
    </xf>
    <xf numFmtId="4" fontId="10" fillId="16" borderId="1" xfId="0" applyNumberFormat="1" applyFont="1" applyFill="1" applyBorder="1" applyAlignment="1">
      <alignment horizontal="center" vertical="center" wrapText="1"/>
    </xf>
    <xf numFmtId="4" fontId="9" fillId="16" borderId="1" xfId="1" applyNumberFormat="1" applyFont="1" applyFill="1" applyBorder="1" applyAlignment="1">
      <alignment horizontal="center" vertical="center" wrapText="1"/>
    </xf>
    <xf numFmtId="4" fontId="9" fillId="16" borderId="15" xfId="1" applyNumberFormat="1" applyFont="1" applyFill="1" applyBorder="1" applyAlignment="1">
      <alignment horizontal="center" vertical="center" wrapText="1"/>
    </xf>
    <xf numFmtId="9" fontId="9" fillId="16" borderId="1" xfId="1" applyNumberFormat="1" applyFont="1" applyFill="1" applyBorder="1" applyAlignment="1">
      <alignment horizontal="center" vertical="center" wrapText="1"/>
    </xf>
    <xf numFmtId="0" fontId="13" fillId="34" borderId="17" xfId="1" applyNumberFormat="1" applyFont="1" applyFill="1" applyBorder="1" applyAlignment="1">
      <alignment horizontal="center" vertical="center" wrapText="1"/>
    </xf>
    <xf numFmtId="0" fontId="31" fillId="23" borderId="33" xfId="0" applyFont="1" applyFill="1" applyBorder="1" applyAlignment="1">
      <alignment horizontal="center" vertical="center"/>
    </xf>
    <xf numFmtId="0" fontId="31" fillId="23" borderId="34" xfId="0" applyFont="1" applyFill="1" applyBorder="1" applyAlignment="1">
      <alignment horizontal="center" vertical="center"/>
    </xf>
    <xf numFmtId="0" fontId="31" fillId="23" borderId="36" xfId="0" applyFont="1" applyFill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2" fillId="0" borderId="30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0" fontId="42" fillId="0" borderId="32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/>
    </xf>
    <xf numFmtId="0" fontId="43" fillId="22" borderId="30" xfId="0" applyFont="1" applyFill="1" applyBorder="1" applyAlignment="1">
      <alignment horizontal="center" vertical="center"/>
    </xf>
    <xf numFmtId="0" fontId="43" fillId="22" borderId="31" xfId="0" applyFont="1" applyFill="1" applyBorder="1" applyAlignment="1">
      <alignment horizontal="center" vertical="center"/>
    </xf>
    <xf numFmtId="0" fontId="43" fillId="22" borderId="32" xfId="0" applyFont="1" applyFill="1" applyBorder="1" applyAlignment="1">
      <alignment horizontal="center" vertical="center"/>
    </xf>
    <xf numFmtId="0" fontId="44" fillId="22" borderId="30" xfId="0" applyFont="1" applyFill="1" applyBorder="1" applyAlignment="1">
      <alignment horizontal="center" vertical="center"/>
    </xf>
    <xf numFmtId="0" fontId="44" fillId="22" borderId="31" xfId="0" applyFont="1" applyFill="1" applyBorder="1" applyAlignment="1">
      <alignment horizontal="center" vertical="center"/>
    </xf>
    <xf numFmtId="0" fontId="44" fillId="22" borderId="32" xfId="0" applyFont="1" applyFill="1" applyBorder="1" applyAlignment="1">
      <alignment horizontal="center" vertical="center"/>
    </xf>
    <xf numFmtId="0" fontId="1" fillId="3" borderId="14" xfId="113" applyFill="1" applyBorder="1" applyAlignment="1">
      <alignment horizontal="center" vertical="center"/>
    </xf>
    <xf numFmtId="0" fontId="1" fillId="3" borderId="15" xfId="113" applyFill="1" applyBorder="1" applyAlignment="1">
      <alignment horizontal="center" vertical="center"/>
    </xf>
    <xf numFmtId="0" fontId="1" fillId="29" borderId="14" xfId="113" applyFill="1" applyBorder="1" applyAlignment="1">
      <alignment horizontal="center" vertical="center"/>
    </xf>
    <xf numFmtId="0" fontId="1" fillId="29" borderId="15" xfId="113" applyFill="1" applyBorder="1" applyAlignment="1">
      <alignment horizontal="center" vertical="center"/>
    </xf>
    <xf numFmtId="0" fontId="43" fillId="0" borderId="19" xfId="113" applyFont="1" applyBorder="1" applyAlignment="1">
      <alignment horizontal="center"/>
    </xf>
    <xf numFmtId="0" fontId="43" fillId="0" borderId="0" xfId="113" applyFont="1" applyAlignment="1">
      <alignment horizontal="center"/>
    </xf>
    <xf numFmtId="0" fontId="1" fillId="29" borderId="1" xfId="113" applyFill="1" applyBorder="1" applyAlignment="1">
      <alignment horizontal="center" vertical="center"/>
    </xf>
    <xf numFmtId="0" fontId="1" fillId="10" borderId="1" xfId="113" applyFill="1" applyBorder="1" applyAlignment="1">
      <alignment horizontal="center" vertical="center" wrapText="1"/>
    </xf>
    <xf numFmtId="0" fontId="1" fillId="10" borderId="15" xfId="113" applyFill="1" applyBorder="1" applyAlignment="1">
      <alignment horizontal="center" vertical="center" wrapText="1"/>
    </xf>
  </cellXfs>
  <cellStyles count="114">
    <cellStyle name="Comma" xfId="112" builtinId="3"/>
    <cellStyle name="Comma [0]" xfId="1" builtinId="6"/>
    <cellStyle name="Comma 2" xfId="31" xr:uid="{00000000-0005-0000-0000-000002000000}"/>
    <cellStyle name="Comma 3" xfId="33" xr:uid="{00000000-0005-0000-0000-000003000000}"/>
    <cellStyle name="Followed Hyperlink" xfId="110" builtinId="9" hidden="1"/>
    <cellStyle name="Followed Hyperlink" xfId="105" builtinId="9" hidden="1"/>
    <cellStyle name="Followed Hyperlink" xfId="97" builtinId="9" hidden="1"/>
    <cellStyle name="Followed Hyperlink" xfId="51" builtinId="9" hidden="1"/>
    <cellStyle name="Followed Hyperlink" xfId="111" builtinId="9" hidden="1"/>
    <cellStyle name="Followed Hyperlink" xfId="67" builtinId="9" hidden="1"/>
    <cellStyle name="Followed Hyperlink" xfId="79" builtinId="9" hidden="1"/>
    <cellStyle name="Followed Hyperlink" xfId="49" builtinId="9" hidden="1"/>
    <cellStyle name="Followed Hyperlink" xfId="47" builtinId="9" hidden="1"/>
    <cellStyle name="Followed Hyperlink" xfId="99" builtinId="9" hidden="1"/>
    <cellStyle name="Followed Hyperlink" xfId="69" builtinId="9" hidden="1"/>
    <cellStyle name="Followed Hyperlink" xfId="101" builtinId="9" hidden="1"/>
    <cellStyle name="Followed Hyperlink" xfId="93" builtinId="9" hidden="1"/>
    <cellStyle name="Followed Hyperlink" xfId="8" builtinId="9" hidden="1"/>
    <cellStyle name="Followed Hyperlink" xfId="81" builtinId="9" hidden="1"/>
    <cellStyle name="Followed Hyperlink" xfId="89" builtinId="9" hidden="1"/>
    <cellStyle name="Followed Hyperlink" xfId="85" builtinId="9" hidden="1"/>
    <cellStyle name="Followed Hyperlink" xfId="103" builtinId="9" hidden="1"/>
    <cellStyle name="Followed Hyperlink" xfId="77" builtinId="9" hidden="1"/>
    <cellStyle name="Followed Hyperlink" xfId="27" builtinId="9" hidden="1"/>
    <cellStyle name="Followed Hyperlink" xfId="107" builtinId="9" hidden="1"/>
    <cellStyle name="Followed Hyperlink" xfId="43" builtinId="9" hidden="1"/>
    <cellStyle name="Followed Hyperlink" xfId="39" builtinId="9" hidden="1"/>
    <cellStyle name="Followed Hyperlink" xfId="15" builtinId="9" hidden="1"/>
    <cellStyle name="Followed Hyperlink" xfId="45" builtinId="9" hidden="1"/>
    <cellStyle name="Followed Hyperlink" xfId="91" builtinId="9" hidden="1"/>
    <cellStyle name="Followed Hyperlink" xfId="55" builtinId="9" hidden="1"/>
    <cellStyle name="Followed Hyperlink" xfId="53" builtinId="9" hidden="1"/>
    <cellStyle name="Followed Hyperlink" xfId="95" builtinId="9" hidden="1"/>
    <cellStyle name="Followed Hyperlink" xfId="10" builtinId="9" hidden="1"/>
    <cellStyle name="Followed Hyperlink" xfId="65" builtinId="9" hidden="1"/>
    <cellStyle name="Followed Hyperlink" xfId="63" builtinId="9" hidden="1"/>
    <cellStyle name="Followed Hyperlink" xfId="109" builtinId="9" hidden="1"/>
    <cellStyle name="Followed Hyperlink" xfId="83" builtinId="9" hidden="1"/>
    <cellStyle name="Followed Hyperlink" xfId="71" builtinId="9" hidden="1"/>
    <cellStyle name="Followed Hyperlink" xfId="6" builtinId="9" hidden="1"/>
    <cellStyle name="Followed Hyperlink" xfId="23" builtinId="9" hidden="1"/>
    <cellStyle name="Followed Hyperlink" xfId="12" builtinId="9" hidden="1"/>
    <cellStyle name="Followed Hyperlink" xfId="57" builtinId="9" hidden="1"/>
    <cellStyle name="Followed Hyperlink" xfId="17" builtinId="9" hidden="1"/>
    <cellStyle name="Followed Hyperlink" xfId="41" builtinId="9" hidden="1"/>
    <cellStyle name="Followed Hyperlink" xfId="37" builtinId="9" hidden="1"/>
    <cellStyle name="Followed Hyperlink" xfId="73" builtinId="9" hidden="1"/>
    <cellStyle name="Followed Hyperlink" xfId="4" builtinId="9" hidden="1"/>
    <cellStyle name="Followed Hyperlink" xfId="87" builtinId="9" hidden="1"/>
    <cellStyle name="Followed Hyperlink" xfId="59" builtinId="9" hidden="1"/>
    <cellStyle name="Followed Hyperlink" xfId="13" builtinId="9" hidden="1"/>
    <cellStyle name="Followed Hyperlink" xfId="75" builtinId="9" hidden="1"/>
    <cellStyle name="Followed Hyperlink" xfId="21" builtinId="9" hidden="1"/>
    <cellStyle name="Followed Hyperlink" xfId="35" builtinId="9" hidden="1"/>
    <cellStyle name="Followed Hyperlink" xfId="61" builtinId="9" hidden="1"/>
    <cellStyle name="Followed Hyperlink" xfId="25" builtinId="9" hidden="1"/>
    <cellStyle name="Followed Hyperlink" xfId="19" builtinId="9" hidden="1"/>
    <cellStyle name="Hyperlink" xfId="52" builtinId="8" hidden="1"/>
    <cellStyle name="Hyperlink" xfId="42" builtinId="8" hidden="1"/>
    <cellStyle name="Hyperlink" xfId="44" builtinId="8" hidden="1"/>
    <cellStyle name="Hyperlink" xfId="24" builtinId="8" hidden="1"/>
    <cellStyle name="Hyperlink" xfId="64" builtinId="8" hidden="1"/>
    <cellStyle name="Hyperlink" xfId="94" builtinId="8" hidden="1"/>
    <cellStyle name="Hyperlink" xfId="78" builtinId="8" hidden="1"/>
    <cellStyle name="Hyperlink" xfId="54" builtinId="8" hidden="1"/>
    <cellStyle name="Hyperlink" xfId="108" builtinId="8" hidden="1"/>
    <cellStyle name="Hyperlink" xfId="72" builtinId="8" hidden="1"/>
    <cellStyle name="Hyperlink" xfId="88" builtinId="8" hidden="1"/>
    <cellStyle name="Hyperlink" xfId="46" builtinId="8" hidden="1"/>
    <cellStyle name="Hyperlink" xfId="92" builtinId="8" hidden="1"/>
    <cellStyle name="Hyperlink" xfId="70" builtinId="8" hidden="1"/>
    <cellStyle name="Hyperlink" xfId="14" builtinId="8" hidden="1"/>
    <cellStyle name="Hyperlink" xfId="74" builtinId="8" hidden="1"/>
    <cellStyle name="Hyperlink" xfId="5" builtinId="8" hidden="1"/>
    <cellStyle name="Hyperlink" xfId="86" builtinId="8" hidden="1"/>
    <cellStyle name="Hyperlink" xfId="100" builtinId="8" hidden="1"/>
    <cellStyle name="Hyperlink" xfId="56" builtinId="8" hidden="1"/>
    <cellStyle name="Hyperlink" xfId="80" builtinId="8" hidden="1"/>
    <cellStyle name="Hyperlink" xfId="3" builtinId="8" hidden="1"/>
    <cellStyle name="Hyperlink" xfId="102" builtinId="8" hidden="1"/>
    <cellStyle name="Hyperlink" xfId="48" builtinId="8" hidden="1"/>
    <cellStyle name="Hyperlink" xfId="104" builtinId="8" hidden="1"/>
    <cellStyle name="Hyperlink" xfId="16" builtinId="8" hidden="1"/>
    <cellStyle name="Hyperlink" xfId="34" builtinId="8" hidden="1"/>
    <cellStyle name="Hyperlink" xfId="11" builtinId="8" hidden="1"/>
    <cellStyle name="Hyperlink" xfId="106" builtinId="8" hidden="1"/>
    <cellStyle name="Hyperlink" xfId="28" builtinId="8" hidden="1"/>
    <cellStyle name="Hyperlink" xfId="58" builtinId="8" hidden="1"/>
    <cellStyle name="Hyperlink" xfId="36" builtinId="8" hidden="1"/>
    <cellStyle name="Hyperlink" xfId="82" builtinId="8" hidden="1"/>
    <cellStyle name="Hyperlink" xfId="98" builtinId="8" hidden="1"/>
    <cellStyle name="Hyperlink" xfId="40" builtinId="8" hidden="1"/>
    <cellStyle name="Hyperlink" xfId="96" builtinId="8" hidden="1"/>
    <cellStyle name="Hyperlink" xfId="50" builtinId="8" hidden="1"/>
    <cellStyle name="Hyperlink" xfId="26" builtinId="8" hidden="1"/>
    <cellStyle name="Hyperlink" xfId="9" builtinId="8" hidden="1"/>
    <cellStyle name="Hyperlink" xfId="68" builtinId="8" hidden="1"/>
    <cellStyle name="Hyperlink" xfId="38" builtinId="8" hidden="1"/>
    <cellStyle name="Hyperlink" xfId="7" builtinId="8" hidden="1"/>
    <cellStyle name="Hyperlink" xfId="18" builtinId="8" hidden="1"/>
    <cellStyle name="Hyperlink" xfId="62" builtinId="8" hidden="1"/>
    <cellStyle name="Hyperlink" xfId="20" builtinId="8" hidden="1"/>
    <cellStyle name="Hyperlink" xfId="90" builtinId="8" hidden="1"/>
    <cellStyle name="Hyperlink" xfId="76" builtinId="8" hidden="1"/>
    <cellStyle name="Hyperlink" xfId="22" builtinId="8" hidden="1"/>
    <cellStyle name="Hyperlink" xfId="60" builtinId="8" hidden="1"/>
    <cellStyle name="Hyperlink" xfId="84" builtinId="8" hidden="1"/>
    <cellStyle name="Hyperlink" xfId="66" builtinId="8" hidden="1"/>
    <cellStyle name="Normal" xfId="0" builtinId="0"/>
    <cellStyle name="Normal 2" xfId="29" xr:uid="{00000000-0005-0000-0000-00006D000000}"/>
    <cellStyle name="Normal 3" xfId="32" xr:uid="{00000000-0005-0000-0000-00006E000000}"/>
    <cellStyle name="Normal 4" xfId="113" xr:uid="{00000000-0005-0000-0000-00006F000000}"/>
    <cellStyle name="Percent" xfId="2" builtinId="5"/>
    <cellStyle name="Percent 2" xfId="30" xr:uid="{00000000-0005-0000-0000-000071000000}"/>
  </cellStyles>
  <dxfs count="22"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FF00"/>
      <color rgb="FF33CCFF"/>
      <color rgb="FFCCECFF"/>
      <color rgb="FFCCFF99"/>
      <color rgb="FF66FF66"/>
      <color rgb="FFFF66CC"/>
      <color rgb="FFFF3300"/>
      <color rgb="FF009900"/>
      <color rgb="FFCC33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en-US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'OccRate Chart'!$A$4</c:f>
              <c:strCache>
                <c:ptCount val="1"/>
                <c:pt idx="0">
                  <c:v>Occupancy Rate</c:v>
                </c:pt>
              </c:strCache>
            </c:strRef>
          </c:tx>
          <c:marker>
            <c:symbol val="none"/>
          </c:marker>
          <c:cat>
            <c:multiLvlStrRef>
              <c:f>'OccRate Chart'!$B$3:$AZ$4</c:f>
              <c:multiLvlStrCache>
                <c:ptCount val="51"/>
                <c:lvl>
                  <c:pt idx="0">
                    <c:v>82.23</c:v>
                  </c:pt>
                  <c:pt idx="1">
                    <c:v>81.34</c:v>
                  </c:pt>
                  <c:pt idx="2">
                    <c:v>81.34</c:v>
                  </c:pt>
                  <c:pt idx="3">
                    <c:v>81.34</c:v>
                  </c:pt>
                  <c:pt idx="4">
                    <c:v>81.34</c:v>
                  </c:pt>
                  <c:pt idx="5">
                    <c:v>81.34</c:v>
                  </c:pt>
                  <c:pt idx="6">
                    <c:v>81.34</c:v>
                  </c:pt>
                  <c:pt idx="7">
                    <c:v>81.34</c:v>
                  </c:pt>
                  <c:pt idx="8">
                    <c:v>81.34</c:v>
                  </c:pt>
                  <c:pt idx="9">
                    <c:v>81.34</c:v>
                  </c:pt>
                  <c:pt idx="10">
                    <c:v>81.34</c:v>
                  </c:pt>
                  <c:pt idx="11">
                    <c:v>81.34</c:v>
                  </c:pt>
                  <c:pt idx="12">
                    <c:v>81.34</c:v>
                  </c:pt>
                  <c:pt idx="13">
                    <c:v>81.34</c:v>
                  </c:pt>
                  <c:pt idx="14">
                    <c:v>81.34</c:v>
                  </c:pt>
                  <c:pt idx="15">
                    <c:v>81.55</c:v>
                  </c:pt>
                  <c:pt idx="16">
                    <c:v>81.55</c:v>
                  </c:pt>
                  <c:pt idx="17">
                    <c:v>81.55</c:v>
                  </c:pt>
                  <c:pt idx="18">
                    <c:v>81.55</c:v>
                  </c:pt>
                  <c:pt idx="19">
                    <c:v>81.55</c:v>
                  </c:pt>
                  <c:pt idx="20">
                    <c:v>81.55</c:v>
                  </c:pt>
                  <c:pt idx="21">
                    <c:v>81.55</c:v>
                  </c:pt>
                  <c:pt idx="22">
                    <c:v>81.55</c:v>
                  </c:pt>
                  <c:pt idx="23">
                    <c:v>81.55</c:v>
                  </c:pt>
                  <c:pt idx="24">
                    <c:v>81.55</c:v>
                  </c:pt>
                  <c:pt idx="25">
                    <c:v>81.55</c:v>
                  </c:pt>
                  <c:pt idx="26">
                    <c:v>81.55</c:v>
                  </c:pt>
                  <c:pt idx="27">
                    <c:v>81.55</c:v>
                  </c:pt>
                  <c:pt idx="28">
                    <c:v>81.55</c:v>
                  </c:pt>
                  <c:pt idx="29">
                    <c:v>81.55</c:v>
                  </c:pt>
                  <c:pt idx="30">
                    <c:v>81.55</c:v>
                  </c:pt>
                  <c:pt idx="31">
                    <c:v>81.55</c:v>
                  </c:pt>
                  <c:pt idx="32">
                    <c:v>81.76</c:v>
                  </c:pt>
                  <c:pt idx="33">
                    <c:v>81.76</c:v>
                  </c:pt>
                  <c:pt idx="34">
                    <c:v>81.76</c:v>
                  </c:pt>
                  <c:pt idx="35">
                    <c:v>81.76</c:v>
                  </c:pt>
                  <c:pt idx="36">
                    <c:v>81.76</c:v>
                  </c:pt>
                </c:lvl>
                <c:lvl>
                  <c:pt idx="0">
                    <c:v>Dec '20</c:v>
                  </c:pt>
                  <c:pt idx="1">
                    <c:v>3-Jan</c:v>
                  </c:pt>
                  <c:pt idx="2">
                    <c:v>10-Jan</c:v>
                  </c:pt>
                  <c:pt idx="3">
                    <c:v>17-Jan</c:v>
                  </c:pt>
                  <c:pt idx="4">
                    <c:v>24-Jan</c:v>
                  </c:pt>
                  <c:pt idx="5">
                    <c:v>30-Jan</c:v>
                  </c:pt>
                  <c:pt idx="6">
                    <c:v>7-Feb</c:v>
                  </c:pt>
                  <c:pt idx="7">
                    <c:v>14-Jan</c:v>
                  </c:pt>
                  <c:pt idx="8">
                    <c:v>21-Jan</c:v>
                  </c:pt>
                  <c:pt idx="9">
                    <c:v>28-Jan</c:v>
                  </c:pt>
                  <c:pt idx="10">
                    <c:v>3-Mar</c:v>
                  </c:pt>
                  <c:pt idx="11">
                    <c:v>10-Mar</c:v>
                  </c:pt>
                  <c:pt idx="12">
                    <c:v>17-Mar</c:v>
                  </c:pt>
                  <c:pt idx="13">
                    <c:v>24-Mar</c:v>
                  </c:pt>
                  <c:pt idx="14">
                    <c:v>31-Mar</c:v>
                  </c:pt>
                  <c:pt idx="15">
                    <c:v>7-Apr</c:v>
                  </c:pt>
                  <c:pt idx="16">
                    <c:v>14-Apr</c:v>
                  </c:pt>
                  <c:pt idx="17">
                    <c:v>21-Apr</c:v>
                  </c:pt>
                  <c:pt idx="18">
                    <c:v>28-Apr</c:v>
                  </c:pt>
                  <c:pt idx="19">
                    <c:v>5-May</c:v>
                  </c:pt>
                  <c:pt idx="20">
                    <c:v>12-May</c:v>
                  </c:pt>
                  <c:pt idx="21">
                    <c:v>19-May</c:v>
                  </c:pt>
                  <c:pt idx="22">
                    <c:v>26-May</c:v>
                  </c:pt>
                  <c:pt idx="23">
                    <c:v>2-Jun</c:v>
                  </c:pt>
                  <c:pt idx="24">
                    <c:v>9-Jun</c:v>
                  </c:pt>
                  <c:pt idx="25">
                    <c:v>16-Jun</c:v>
                  </c:pt>
                  <c:pt idx="26">
                    <c:v>23-Jun</c:v>
                  </c:pt>
                  <c:pt idx="27">
                    <c:v>30-Jun</c:v>
                  </c:pt>
                  <c:pt idx="28">
                    <c:v>7-Jul</c:v>
                  </c:pt>
                  <c:pt idx="29">
                    <c:v>14-Jul</c:v>
                  </c:pt>
                  <c:pt idx="30">
                    <c:v>21-Jul</c:v>
                  </c:pt>
                  <c:pt idx="31">
                    <c:v>28-Jul</c:v>
                  </c:pt>
                  <c:pt idx="32">
                    <c:v>4-Aug</c:v>
                  </c:pt>
                  <c:pt idx="33">
                    <c:v>11-Aug</c:v>
                  </c:pt>
                  <c:pt idx="34">
                    <c:v>18-Aug</c:v>
                  </c:pt>
                  <c:pt idx="35">
                    <c:v>25-Aug</c:v>
                  </c:pt>
                  <c:pt idx="36">
                    <c:v>1-Sep</c:v>
                  </c:pt>
                  <c:pt idx="37">
                    <c:v>8-Sep</c:v>
                  </c:pt>
                  <c:pt idx="38">
                    <c:v>15-Sep</c:v>
                  </c:pt>
                  <c:pt idx="39">
                    <c:v>22-Sep</c:v>
                  </c:pt>
                  <c:pt idx="40">
                    <c:v>29-Sep</c:v>
                  </c:pt>
                  <c:pt idx="41">
                    <c:v>6-Oct</c:v>
                  </c:pt>
                  <c:pt idx="42">
                    <c:v>13-Oct</c:v>
                  </c:pt>
                  <c:pt idx="43">
                    <c:v>20-Oct</c:v>
                  </c:pt>
                  <c:pt idx="44">
                    <c:v>27-Oct</c:v>
                  </c:pt>
                  <c:pt idx="45">
                    <c:v>3-Nov</c:v>
                  </c:pt>
                  <c:pt idx="46">
                    <c:v>10-Nov</c:v>
                  </c:pt>
                  <c:pt idx="47">
                    <c:v>17-Nov</c:v>
                  </c:pt>
                  <c:pt idx="48">
                    <c:v>24-Nov</c:v>
                  </c:pt>
                  <c:pt idx="49">
                    <c:v>1-Dec</c:v>
                  </c:pt>
                  <c:pt idx="50">
                    <c:v>8-Dec</c:v>
                  </c:pt>
                </c:lvl>
              </c:multiLvlStrCache>
            </c:multiLvlStrRef>
          </c:cat>
          <c:val>
            <c:numRef>
              <c:f>'OccRate Chart'!$B$4:$AZ$4</c:f>
              <c:numCache>
                <c:formatCode>General</c:formatCode>
                <c:ptCount val="51"/>
                <c:pt idx="0">
                  <c:v>82.23</c:v>
                </c:pt>
                <c:pt idx="1">
                  <c:v>81.34</c:v>
                </c:pt>
                <c:pt idx="2">
                  <c:v>81.34</c:v>
                </c:pt>
                <c:pt idx="3">
                  <c:v>81.34</c:v>
                </c:pt>
                <c:pt idx="4">
                  <c:v>81.34</c:v>
                </c:pt>
                <c:pt idx="5">
                  <c:v>81.34</c:v>
                </c:pt>
                <c:pt idx="6">
                  <c:v>81.34</c:v>
                </c:pt>
                <c:pt idx="7">
                  <c:v>81.34</c:v>
                </c:pt>
                <c:pt idx="8">
                  <c:v>81.34</c:v>
                </c:pt>
                <c:pt idx="9">
                  <c:v>81.34</c:v>
                </c:pt>
                <c:pt idx="10">
                  <c:v>81.34</c:v>
                </c:pt>
                <c:pt idx="11">
                  <c:v>81.34</c:v>
                </c:pt>
                <c:pt idx="12">
                  <c:v>81.34</c:v>
                </c:pt>
                <c:pt idx="13">
                  <c:v>81.34</c:v>
                </c:pt>
                <c:pt idx="14">
                  <c:v>81.34</c:v>
                </c:pt>
                <c:pt idx="15">
                  <c:v>81.55</c:v>
                </c:pt>
                <c:pt idx="16">
                  <c:v>81.55</c:v>
                </c:pt>
                <c:pt idx="17">
                  <c:v>81.55</c:v>
                </c:pt>
                <c:pt idx="18">
                  <c:v>81.55</c:v>
                </c:pt>
                <c:pt idx="19">
                  <c:v>81.55</c:v>
                </c:pt>
                <c:pt idx="20">
                  <c:v>81.55</c:v>
                </c:pt>
                <c:pt idx="21">
                  <c:v>81.55</c:v>
                </c:pt>
                <c:pt idx="22">
                  <c:v>81.55</c:v>
                </c:pt>
                <c:pt idx="23">
                  <c:v>81.55</c:v>
                </c:pt>
                <c:pt idx="24">
                  <c:v>81.55</c:v>
                </c:pt>
                <c:pt idx="25">
                  <c:v>81.55</c:v>
                </c:pt>
                <c:pt idx="26">
                  <c:v>81.55</c:v>
                </c:pt>
                <c:pt idx="27">
                  <c:v>81.55</c:v>
                </c:pt>
                <c:pt idx="28">
                  <c:v>81.55</c:v>
                </c:pt>
                <c:pt idx="29">
                  <c:v>81.55</c:v>
                </c:pt>
                <c:pt idx="30">
                  <c:v>81.55</c:v>
                </c:pt>
                <c:pt idx="31">
                  <c:v>81.55</c:v>
                </c:pt>
                <c:pt idx="32">
                  <c:v>81.760000000000005</c:v>
                </c:pt>
                <c:pt idx="33">
                  <c:v>81.760000000000005</c:v>
                </c:pt>
                <c:pt idx="34">
                  <c:v>81.760000000000005</c:v>
                </c:pt>
                <c:pt idx="35">
                  <c:v>81.760000000000005</c:v>
                </c:pt>
                <c:pt idx="36">
                  <c:v>81.760000000000005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F-664F-B3E1-381745497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19154336"/>
        <c:axId val="-1919155424"/>
      </c:lineChart>
      <c:catAx>
        <c:axId val="-1919154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-1919155424"/>
        <c:crosses val="autoZero"/>
        <c:auto val="1"/>
        <c:lblAlgn val="ctr"/>
        <c:lblOffset val="100"/>
        <c:noMultiLvlLbl val="0"/>
      </c:catAx>
      <c:valAx>
        <c:axId val="-1919155424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-1919154336"/>
        <c:crosses val="autoZero"/>
        <c:crossBetween val="between"/>
        <c:majorUnit val="10"/>
        <c:minorUnit val="0.2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2021'!$B$5:$O$5</c:f>
              <c:numCache>
                <c:formatCode>#,##0.00</c:formatCode>
                <c:ptCount val="14"/>
                <c:pt idx="0">
                  <c:v>59844.87</c:v>
                </c:pt>
                <c:pt idx="1">
                  <c:v>59844.87</c:v>
                </c:pt>
                <c:pt idx="2">
                  <c:v>59844.87</c:v>
                </c:pt>
                <c:pt idx="3">
                  <c:v>59698.87</c:v>
                </c:pt>
                <c:pt idx="4">
                  <c:v>59698.87</c:v>
                </c:pt>
                <c:pt idx="5">
                  <c:v>59536.69</c:v>
                </c:pt>
                <c:pt idx="6">
                  <c:v>59229.770000000004</c:v>
                </c:pt>
                <c:pt idx="7">
                  <c:v>59229.770000000004</c:v>
                </c:pt>
                <c:pt idx="8">
                  <c:v>58978.78</c:v>
                </c:pt>
                <c:pt idx="9">
                  <c:v>58323.25</c:v>
                </c:pt>
                <c:pt idx="10">
                  <c:v>56990.020000000004</c:v>
                </c:pt>
                <c:pt idx="11">
                  <c:v>56990.020000000004</c:v>
                </c:pt>
                <c:pt idx="12">
                  <c:v>52997.53</c:v>
                </c:pt>
                <c:pt idx="13">
                  <c:v>52997.53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2021'!$B$6:$O$6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5352.1699999999992</c:v>
                </c:pt>
                <c:pt idx="2">
                  <c:v>5352.1699999999992</c:v>
                </c:pt>
                <c:pt idx="3">
                  <c:v>5498.1699999999992</c:v>
                </c:pt>
                <c:pt idx="4">
                  <c:v>5498.1699999999992</c:v>
                </c:pt>
                <c:pt idx="5">
                  <c:v>5660.3499999999995</c:v>
                </c:pt>
                <c:pt idx="6">
                  <c:v>5967.2699999999995</c:v>
                </c:pt>
                <c:pt idx="7">
                  <c:v>5967.2699999999995</c:v>
                </c:pt>
                <c:pt idx="8">
                  <c:v>6218.2599999999993</c:v>
                </c:pt>
                <c:pt idx="9">
                  <c:v>6873.7899999999991</c:v>
                </c:pt>
                <c:pt idx="10">
                  <c:v>8207.0199999999986</c:v>
                </c:pt>
                <c:pt idx="11">
                  <c:v>8207.0199999999986</c:v>
                </c:pt>
                <c:pt idx="12">
                  <c:v>12199.509999999998</c:v>
                </c:pt>
                <c:pt idx="13">
                  <c:v>12199.509999999998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9776"/>
        <c:axId val="-1919160864"/>
      </c:barChart>
      <c:lineChart>
        <c:grouping val="standard"/>
        <c:varyColors val="0"/>
        <c:ser>
          <c:idx val="3"/>
          <c:order val="3"/>
          <c:tx>
            <c:strRef>
              <c:f>'OUTLOOK 2021'!$A$7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2021'!$B$3:$N$3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2021'!$B$7:$O$7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0.91790777618124997</c:v>
                </c:pt>
                <c:pt idx="2">
                  <c:v>0.91790777618124997</c:v>
                </c:pt>
                <c:pt idx="3">
                  <c:v>0.91566841071312444</c:v>
                </c:pt>
                <c:pt idx="4">
                  <c:v>0.91566841071312444</c:v>
                </c:pt>
                <c:pt idx="5">
                  <c:v>0.91318087446914775</c:v>
                </c:pt>
                <c:pt idx="6">
                  <c:v>0.90847329878779781</c:v>
                </c:pt>
                <c:pt idx="7">
                  <c:v>0.90847329878779781</c:v>
                </c:pt>
                <c:pt idx="8">
                  <c:v>0.90462358413817556</c:v>
                </c:pt>
                <c:pt idx="9">
                  <c:v>0.89456898656748829</c:v>
                </c:pt>
                <c:pt idx="10">
                  <c:v>0.87411974531359093</c:v>
                </c:pt>
                <c:pt idx="11">
                  <c:v>0.87411974531359093</c:v>
                </c:pt>
                <c:pt idx="12">
                  <c:v>0.81288245601334042</c:v>
                </c:pt>
                <c:pt idx="13">
                  <c:v>0.81288245601334042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61952"/>
        <c:axId val="-1919162496"/>
      </c:lineChart>
      <c:catAx>
        <c:axId val="-19191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60864"/>
        <c:crosses val="autoZero"/>
        <c:auto val="1"/>
        <c:lblAlgn val="ctr"/>
        <c:lblOffset val="100"/>
        <c:noMultiLvlLbl val="0"/>
      </c:catAx>
      <c:valAx>
        <c:axId val="-1919160864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9776"/>
        <c:crosses val="autoZero"/>
        <c:crossBetween val="between"/>
      </c:valAx>
      <c:valAx>
        <c:axId val="-19191624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61952"/>
        <c:crosses val="max"/>
        <c:crossBetween val="between"/>
      </c:valAx>
      <c:catAx>
        <c:axId val="-1919161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62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2021'!$B$19:$O$19</c:f>
              <c:numCache>
                <c:formatCode>#,##0.00</c:formatCode>
                <c:ptCount val="14"/>
                <c:pt idx="0" formatCode="General">
                  <c:v>59844.87</c:v>
                </c:pt>
                <c:pt idx="1">
                  <c:v>60134.57</c:v>
                </c:pt>
                <c:pt idx="2">
                  <c:v>60134.57</c:v>
                </c:pt>
                <c:pt idx="3">
                  <c:v>59988.57</c:v>
                </c:pt>
                <c:pt idx="4">
                  <c:v>60126.080000000002</c:v>
                </c:pt>
                <c:pt idx="5">
                  <c:v>59963.9</c:v>
                </c:pt>
                <c:pt idx="6">
                  <c:v>59656.98</c:v>
                </c:pt>
                <c:pt idx="7">
                  <c:v>59656.98</c:v>
                </c:pt>
                <c:pt idx="8">
                  <c:v>59405.990000000005</c:v>
                </c:pt>
                <c:pt idx="9">
                  <c:v>58750.46</c:v>
                </c:pt>
                <c:pt idx="10">
                  <c:v>57417.23</c:v>
                </c:pt>
                <c:pt idx="11">
                  <c:v>57417.23</c:v>
                </c:pt>
                <c:pt idx="12">
                  <c:v>53424.740000000005</c:v>
                </c:pt>
                <c:pt idx="13">
                  <c:v>53424.740000000005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2021'!$B$20:$O$20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5062.4699999999993</c:v>
                </c:pt>
                <c:pt idx="2">
                  <c:v>5062.4699999999993</c:v>
                </c:pt>
                <c:pt idx="3">
                  <c:v>5208.4699999999993</c:v>
                </c:pt>
                <c:pt idx="4">
                  <c:v>5070.9599999999991</c:v>
                </c:pt>
                <c:pt idx="5">
                  <c:v>5233.1399999999994</c:v>
                </c:pt>
                <c:pt idx="6">
                  <c:v>5540.0599999999995</c:v>
                </c:pt>
                <c:pt idx="7">
                  <c:v>5540.0599999999995</c:v>
                </c:pt>
                <c:pt idx="8">
                  <c:v>5791.0499999999993</c:v>
                </c:pt>
                <c:pt idx="9">
                  <c:v>6446.579999999999</c:v>
                </c:pt>
                <c:pt idx="10">
                  <c:v>7779.8099999999995</c:v>
                </c:pt>
                <c:pt idx="11">
                  <c:v>7779.8099999999995</c:v>
                </c:pt>
                <c:pt idx="12">
                  <c:v>11772.3</c:v>
                </c:pt>
                <c:pt idx="13">
                  <c:v>11772.3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8688"/>
        <c:axId val="-1919151616"/>
      </c:barChart>
      <c:lineChart>
        <c:grouping val="standard"/>
        <c:varyColors val="0"/>
        <c:ser>
          <c:idx val="3"/>
          <c:order val="3"/>
          <c:tx>
            <c:strRef>
              <c:f>'OUTLOOK 2021'!$A$21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2021'!$B$21:$O$21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0.92235122944231818</c:v>
                </c:pt>
                <c:pt idx="2">
                  <c:v>0.92235122944231818</c:v>
                </c:pt>
                <c:pt idx="3">
                  <c:v>0.92011186397419265</c:v>
                </c:pt>
                <c:pt idx="4">
                  <c:v>0.92222100880653479</c:v>
                </c:pt>
                <c:pt idx="5">
                  <c:v>0.91973347256255811</c:v>
                </c:pt>
                <c:pt idx="6">
                  <c:v>0.91502589688120817</c:v>
                </c:pt>
                <c:pt idx="7">
                  <c:v>0.91502589688120817</c:v>
                </c:pt>
                <c:pt idx="8">
                  <c:v>0.91117618223158603</c:v>
                </c:pt>
                <c:pt idx="9">
                  <c:v>0.90112158466089864</c:v>
                </c:pt>
                <c:pt idx="10">
                  <c:v>0.88067234340700129</c:v>
                </c:pt>
                <c:pt idx="11">
                  <c:v>0.88067234340700129</c:v>
                </c:pt>
                <c:pt idx="12">
                  <c:v>0.81943505410675088</c:v>
                </c:pt>
                <c:pt idx="13">
                  <c:v>0.81943505410675088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50528"/>
        <c:axId val="-1919158144"/>
      </c:lineChart>
      <c:catAx>
        <c:axId val="-19191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1616"/>
        <c:crosses val="autoZero"/>
        <c:auto val="1"/>
        <c:lblAlgn val="ctr"/>
        <c:lblOffset val="100"/>
        <c:noMultiLvlLbl val="0"/>
      </c:catAx>
      <c:valAx>
        <c:axId val="-1919151616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8688"/>
        <c:crosses val="autoZero"/>
        <c:crossBetween val="between"/>
      </c:valAx>
      <c:valAx>
        <c:axId val="-1919158144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0528"/>
        <c:crosses val="max"/>
        <c:crossBetween val="between"/>
      </c:valAx>
      <c:catAx>
        <c:axId val="-1919150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58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51547.87</c:v>
                </c:pt>
                <c:pt idx="13">
                  <c:v>51547.87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13649.169999999998</c:v>
                </c:pt>
                <c:pt idx="13">
                  <c:v>13649.169999999998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2704"/>
        <c:axId val="-1919157600"/>
      </c:barChart>
      <c:lineChart>
        <c:grouping val="standard"/>
        <c:varyColors val="0"/>
        <c:ser>
          <c:idx val="3"/>
          <c:order val="3"/>
          <c:tx>
            <c:strRef>
              <c:f>'OUTLOOK 2022'!$A$7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0.7906473974892112</c:v>
                </c:pt>
                <c:pt idx="13">
                  <c:v>0.7906473974892112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55968"/>
        <c:axId val="-1919156512"/>
      </c:lineChart>
      <c:catAx>
        <c:axId val="-19191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7600"/>
        <c:crosses val="autoZero"/>
        <c:auto val="1"/>
        <c:lblAlgn val="ctr"/>
        <c:lblOffset val="100"/>
        <c:noMultiLvlLbl val="0"/>
      </c:catAx>
      <c:valAx>
        <c:axId val="-1919157600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2704"/>
        <c:crosses val="autoZero"/>
        <c:crossBetween val="between"/>
      </c:valAx>
      <c:valAx>
        <c:axId val="-191915651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5968"/>
        <c:crosses val="max"/>
        <c:crossBetween val="between"/>
      </c:valAx>
      <c:catAx>
        <c:axId val="-1919155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56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4880"/>
        <c:axId val="-1919153792"/>
      </c:barChart>
      <c:lineChart>
        <c:grouping val="standard"/>
        <c:varyColors val="0"/>
        <c:ser>
          <c:idx val="3"/>
          <c:order val="3"/>
          <c:tx>
            <c:strRef>
              <c:f>'OUTLOOK 2022'!$A$21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49984"/>
        <c:axId val="-1919151072"/>
      </c:lineChart>
      <c:catAx>
        <c:axId val="-191915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3792"/>
        <c:crosses val="autoZero"/>
        <c:auto val="1"/>
        <c:lblAlgn val="ctr"/>
        <c:lblOffset val="100"/>
        <c:noMultiLvlLbl val="0"/>
      </c:catAx>
      <c:valAx>
        <c:axId val="-191915379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4880"/>
        <c:crosses val="autoZero"/>
        <c:crossBetween val="between"/>
      </c:valAx>
      <c:valAx>
        <c:axId val="-191915107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49984"/>
        <c:crosses val="max"/>
        <c:crossBetween val="between"/>
      </c:valAx>
      <c:catAx>
        <c:axId val="-1919149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51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2023'!$B$5:$O$5</c:f>
              <c:numCache>
                <c:formatCode>#,##0.00</c:formatCode>
                <c:ptCount val="14"/>
                <c:pt idx="0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54664.3</c:v>
                </c:pt>
                <c:pt idx="7">
                  <c:v>54664.3</c:v>
                </c:pt>
                <c:pt idx="8">
                  <c:v>54664.3</c:v>
                </c:pt>
                <c:pt idx="9">
                  <c:v>54664.3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2023'!$B$6:$O$6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10532.740000000002</c:v>
                </c:pt>
                <c:pt idx="7">
                  <c:v>10532.740000000002</c:v>
                </c:pt>
                <c:pt idx="8">
                  <c:v>10532.740000000002</c:v>
                </c:pt>
                <c:pt idx="9">
                  <c:v>10532.740000000002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40576"/>
        <c:axId val="-1914641120"/>
      </c:barChart>
      <c:lineChart>
        <c:grouping val="standard"/>
        <c:varyColors val="0"/>
        <c:ser>
          <c:idx val="3"/>
          <c:order val="3"/>
          <c:tx>
            <c:strRef>
              <c:f>'OUTLOOK 2023'!$A$7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2023'!$B$7:$O$7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0.83844757369352962</c:v>
                </c:pt>
                <c:pt idx="7">
                  <c:v>0.83844757369352962</c:v>
                </c:pt>
                <c:pt idx="8">
                  <c:v>0.83844757369352962</c:v>
                </c:pt>
                <c:pt idx="9">
                  <c:v>0.83844757369352962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44384"/>
        <c:axId val="-1914646560"/>
      </c:lineChart>
      <c:catAx>
        <c:axId val="-191464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1120"/>
        <c:crosses val="autoZero"/>
        <c:auto val="1"/>
        <c:lblAlgn val="ctr"/>
        <c:lblOffset val="100"/>
        <c:noMultiLvlLbl val="0"/>
      </c:catAx>
      <c:valAx>
        <c:axId val="-1914641120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0576"/>
        <c:crosses val="autoZero"/>
        <c:crossBetween val="between"/>
      </c:valAx>
      <c:valAx>
        <c:axId val="-191464656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4384"/>
        <c:crosses val="max"/>
        <c:crossBetween val="between"/>
      </c:valAx>
      <c:catAx>
        <c:axId val="-1914644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2023'!$B$19:$O$19</c:f>
              <c:numCache>
                <c:formatCode>#,##0.00</c:formatCode>
                <c:ptCount val="14"/>
                <c:pt idx="0" formatCode="General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56212.009999999995</c:v>
                </c:pt>
                <c:pt idx="7">
                  <c:v>59315.33</c:v>
                </c:pt>
                <c:pt idx="8">
                  <c:v>59315.33</c:v>
                </c:pt>
                <c:pt idx="9">
                  <c:v>59873.24</c:v>
                </c:pt>
                <c:pt idx="10">
                  <c:v>59873.24</c:v>
                </c:pt>
                <c:pt idx="11">
                  <c:v>59873.24</c:v>
                </c:pt>
                <c:pt idx="12">
                  <c:v>59873.24</c:v>
                </c:pt>
                <c:pt idx="13">
                  <c:v>59873.24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2023'!$B$20:$O$20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8985.0300000000025</c:v>
                </c:pt>
                <c:pt idx="7">
                  <c:v>5881.7100000000028</c:v>
                </c:pt>
                <c:pt idx="8">
                  <c:v>5881.7100000000028</c:v>
                </c:pt>
                <c:pt idx="9">
                  <c:v>5323.8000000000029</c:v>
                </c:pt>
                <c:pt idx="10">
                  <c:v>5323.8000000000029</c:v>
                </c:pt>
                <c:pt idx="11">
                  <c:v>5323.8000000000029</c:v>
                </c:pt>
                <c:pt idx="12">
                  <c:v>5323.8000000000029</c:v>
                </c:pt>
                <c:pt idx="13">
                  <c:v>5323.8000000000029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37312"/>
        <c:axId val="-1914641664"/>
      </c:barChart>
      <c:lineChart>
        <c:grouping val="standard"/>
        <c:varyColors val="0"/>
        <c:ser>
          <c:idx val="3"/>
          <c:order val="3"/>
          <c:tx>
            <c:strRef>
              <c:f>'OUTLOOK 2023'!$A$21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2023'!$B$21:$O$21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0.86218653484882124</c:v>
                </c:pt>
                <c:pt idx="7">
                  <c:v>0.90978562830459786</c:v>
                </c:pt>
                <c:pt idx="8">
                  <c:v>0.90978562830459786</c:v>
                </c:pt>
                <c:pt idx="9">
                  <c:v>0.91834291863556994</c:v>
                </c:pt>
                <c:pt idx="10">
                  <c:v>0.91834291863556994</c:v>
                </c:pt>
                <c:pt idx="11">
                  <c:v>0.91834291863556994</c:v>
                </c:pt>
                <c:pt idx="12">
                  <c:v>0.91834291863556994</c:v>
                </c:pt>
                <c:pt idx="13">
                  <c:v>0.91834291863556994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43840"/>
        <c:axId val="-1914648736"/>
      </c:lineChart>
      <c:catAx>
        <c:axId val="-191463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1664"/>
        <c:crosses val="autoZero"/>
        <c:auto val="1"/>
        <c:lblAlgn val="ctr"/>
        <c:lblOffset val="100"/>
        <c:noMultiLvlLbl val="0"/>
      </c:catAx>
      <c:valAx>
        <c:axId val="-1914641664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7312"/>
        <c:crosses val="autoZero"/>
        <c:crossBetween val="between"/>
      </c:valAx>
      <c:valAx>
        <c:axId val="-19146487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3840"/>
        <c:crosses val="max"/>
        <c:crossBetween val="between"/>
      </c:valAx>
      <c:catAx>
        <c:axId val="-1914643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8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50284.37</c:v>
                </c:pt>
                <c:pt idx="13">
                  <c:v>50284.37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14912.669999999998</c:v>
                </c:pt>
                <c:pt idx="13">
                  <c:v>14912.669999999998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49280"/>
        <c:axId val="-1914643296"/>
      </c:barChart>
      <c:lineChart>
        <c:grouping val="standard"/>
        <c:varyColors val="0"/>
        <c:ser>
          <c:idx val="3"/>
          <c:order val="3"/>
          <c:tx>
            <c:strRef>
              <c:f>'OUTLOOK 2022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(2)'!$B$7:$O$7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0.77126768331813844</c:v>
                </c:pt>
                <c:pt idx="13">
                  <c:v>0.77126768331813844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37856"/>
        <c:axId val="-1914640032"/>
      </c:lineChart>
      <c:catAx>
        <c:axId val="-191464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3296"/>
        <c:crosses val="autoZero"/>
        <c:auto val="1"/>
        <c:lblAlgn val="ctr"/>
        <c:lblOffset val="100"/>
        <c:noMultiLvlLbl val="0"/>
      </c:catAx>
      <c:valAx>
        <c:axId val="-191464329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9280"/>
        <c:crosses val="autoZero"/>
        <c:crossBetween val="between"/>
      </c:valAx>
      <c:valAx>
        <c:axId val="-19146400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7856"/>
        <c:crosses val="max"/>
        <c:crossBetween val="between"/>
      </c:valAx>
      <c:catAx>
        <c:axId val="-19146378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0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53116.59</c:v>
                </c:pt>
                <c:pt idx="11">
                  <c:v>53116.59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12080.45</c:v>
                </c:pt>
                <c:pt idx="11">
                  <c:v>12080.45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38944"/>
        <c:axId val="-1914652000"/>
      </c:barChart>
      <c:lineChart>
        <c:grouping val="standard"/>
        <c:varyColors val="0"/>
        <c:ser>
          <c:idx val="3"/>
          <c:order val="3"/>
          <c:tx>
            <c:strRef>
              <c:f>'OUTLOOK 2022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0.8147086125382379</c:v>
                </c:pt>
                <c:pt idx="11">
                  <c:v>0.8147086125382379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50912"/>
        <c:axId val="-1914644928"/>
      </c:lineChart>
      <c:catAx>
        <c:axId val="-191463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52000"/>
        <c:crosses val="autoZero"/>
        <c:auto val="1"/>
        <c:lblAlgn val="ctr"/>
        <c:lblOffset val="100"/>
        <c:noMultiLvlLbl val="0"/>
      </c:catAx>
      <c:valAx>
        <c:axId val="-191465200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8944"/>
        <c:crosses val="autoZero"/>
        <c:crossBetween val="between"/>
      </c:valAx>
      <c:valAx>
        <c:axId val="-191464492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50912"/>
        <c:crosses val="max"/>
        <c:crossBetween val="between"/>
      </c:valAx>
      <c:catAx>
        <c:axId val="-1914650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(2)'!$B$5:$O$5</c:f>
              <c:numCache>
                <c:formatCode>#,##0.00</c:formatCode>
                <c:ptCount val="14"/>
                <c:pt idx="0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51853.09</c:v>
                </c:pt>
                <c:pt idx="7">
                  <c:v>51853.09</c:v>
                </c:pt>
                <c:pt idx="8">
                  <c:v>51853.09</c:v>
                </c:pt>
                <c:pt idx="9">
                  <c:v>51853.09</c:v>
                </c:pt>
                <c:pt idx="10">
                  <c:v>51853.09</c:v>
                </c:pt>
                <c:pt idx="11">
                  <c:v>51853.09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(2)'!$B$6:$O$6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13343.95</c:v>
                </c:pt>
                <c:pt idx="7">
                  <c:v>13343.95</c:v>
                </c:pt>
                <c:pt idx="8">
                  <c:v>13343.95</c:v>
                </c:pt>
                <c:pt idx="9">
                  <c:v>13343.95</c:v>
                </c:pt>
                <c:pt idx="10">
                  <c:v>13343.95</c:v>
                </c:pt>
                <c:pt idx="11">
                  <c:v>13343.95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51456"/>
        <c:axId val="-1914638400"/>
      </c:barChart>
      <c:lineChart>
        <c:grouping val="standard"/>
        <c:varyColors val="0"/>
        <c:ser>
          <c:idx val="3"/>
          <c:order val="3"/>
          <c:tx>
            <c:strRef>
              <c:f>'OUTLOOK 2023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(2)'!$B$7:$O$7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0.79532889836716503</c:v>
                </c:pt>
                <c:pt idx="7">
                  <c:v>0.79532889836716503</c:v>
                </c:pt>
                <c:pt idx="8">
                  <c:v>0.79532889836716503</c:v>
                </c:pt>
                <c:pt idx="9">
                  <c:v>0.79532889836716503</c:v>
                </c:pt>
                <c:pt idx="10">
                  <c:v>0.79532889836716503</c:v>
                </c:pt>
                <c:pt idx="11">
                  <c:v>0.79532889836716503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49824"/>
        <c:axId val="-1914645472"/>
      </c:lineChart>
      <c:catAx>
        <c:axId val="-191465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8400"/>
        <c:crosses val="autoZero"/>
        <c:auto val="1"/>
        <c:lblAlgn val="ctr"/>
        <c:lblOffset val="100"/>
        <c:noMultiLvlLbl val="0"/>
      </c:catAx>
      <c:valAx>
        <c:axId val="-1914638400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51456"/>
        <c:crosses val="autoZero"/>
        <c:crossBetween val="between"/>
      </c:valAx>
      <c:valAx>
        <c:axId val="-191464547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9824"/>
        <c:crosses val="max"/>
        <c:crossBetween val="between"/>
      </c:valAx>
      <c:catAx>
        <c:axId val="-1914649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(2)'!$B$19:$O$19</c:f>
              <c:numCache>
                <c:formatCode>#,##0.00</c:formatCode>
                <c:ptCount val="14"/>
                <c:pt idx="0" formatCode="General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53400.800000000003</c:v>
                </c:pt>
                <c:pt idx="7">
                  <c:v>56504.119999999995</c:v>
                </c:pt>
                <c:pt idx="8">
                  <c:v>56504.119999999995</c:v>
                </c:pt>
                <c:pt idx="9">
                  <c:v>57062.03</c:v>
                </c:pt>
                <c:pt idx="10">
                  <c:v>57062.03</c:v>
                </c:pt>
                <c:pt idx="11">
                  <c:v>57062.03</c:v>
                </c:pt>
                <c:pt idx="12">
                  <c:v>57062.03</c:v>
                </c:pt>
                <c:pt idx="13">
                  <c:v>57062.03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(2)'!$B$20:$O$20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11796.240000000002</c:v>
                </c:pt>
                <c:pt idx="7">
                  <c:v>8692.9200000000019</c:v>
                </c:pt>
                <c:pt idx="8">
                  <c:v>8692.9200000000019</c:v>
                </c:pt>
                <c:pt idx="9">
                  <c:v>8135.010000000002</c:v>
                </c:pt>
                <c:pt idx="10">
                  <c:v>8135.010000000002</c:v>
                </c:pt>
                <c:pt idx="11">
                  <c:v>8135.010000000002</c:v>
                </c:pt>
                <c:pt idx="12">
                  <c:v>8135.010000000002</c:v>
                </c:pt>
                <c:pt idx="13">
                  <c:v>8135.010000000002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395232"/>
        <c:axId val="-1914405568"/>
      </c:barChart>
      <c:lineChart>
        <c:grouping val="standard"/>
        <c:varyColors val="0"/>
        <c:ser>
          <c:idx val="3"/>
          <c:order val="3"/>
          <c:tx>
            <c:strRef>
              <c:f>'OUTLOOK 2023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(2)'!$B$21:$O$21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0.81906785952245686</c:v>
                </c:pt>
                <c:pt idx="7">
                  <c:v>0.86666695297823326</c:v>
                </c:pt>
                <c:pt idx="8">
                  <c:v>0.86666695297823326</c:v>
                </c:pt>
                <c:pt idx="9">
                  <c:v>0.87522424330920545</c:v>
                </c:pt>
                <c:pt idx="10">
                  <c:v>0.87522424330920545</c:v>
                </c:pt>
                <c:pt idx="11">
                  <c:v>0.87522424330920545</c:v>
                </c:pt>
                <c:pt idx="12">
                  <c:v>0.87522424330920545</c:v>
                </c:pt>
                <c:pt idx="13">
                  <c:v>0.87522424330920545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405024"/>
        <c:axId val="-1914397408"/>
      </c:lineChart>
      <c:catAx>
        <c:axId val="-191439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5568"/>
        <c:crosses val="autoZero"/>
        <c:auto val="1"/>
        <c:lblAlgn val="ctr"/>
        <c:lblOffset val="100"/>
        <c:noMultiLvlLbl val="0"/>
      </c:catAx>
      <c:valAx>
        <c:axId val="-191440556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5232"/>
        <c:crosses val="autoZero"/>
        <c:crossBetween val="between"/>
      </c:valAx>
      <c:valAx>
        <c:axId val="-191439740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5024"/>
        <c:crosses val="max"/>
        <c:crossBetween val="between"/>
      </c:valAx>
      <c:catAx>
        <c:axId val="-1914405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397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(3)'!$B$3:$O$3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(3)'!$B$3:$O$3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(3)'!$B$5:$O$5</c:f>
              <c:numCache>
                <c:formatCode>#,##0.00</c:formatCode>
                <c:ptCount val="14"/>
                <c:pt idx="0">
                  <c:v>53866.392860379245</c:v>
                </c:pt>
                <c:pt idx="1">
                  <c:v>53163.08286037924</c:v>
                </c:pt>
                <c:pt idx="2">
                  <c:v>53163.08286037924</c:v>
                </c:pt>
                <c:pt idx="3">
                  <c:v>53163.08286037924</c:v>
                </c:pt>
                <c:pt idx="4">
                  <c:v>53163.08286037924</c:v>
                </c:pt>
                <c:pt idx="5">
                  <c:v>53163.08286037924</c:v>
                </c:pt>
                <c:pt idx="6">
                  <c:v>53163.08286037924</c:v>
                </c:pt>
                <c:pt idx="7">
                  <c:v>52456.982860379241</c:v>
                </c:pt>
                <c:pt idx="8">
                  <c:v>52456.982860379241</c:v>
                </c:pt>
                <c:pt idx="9">
                  <c:v>52456.982860379241</c:v>
                </c:pt>
                <c:pt idx="10">
                  <c:v>51770.302860379241</c:v>
                </c:pt>
                <c:pt idx="11">
                  <c:v>51770.302860379241</c:v>
                </c:pt>
                <c:pt idx="12">
                  <c:v>50506.802860379241</c:v>
                </c:pt>
                <c:pt idx="13">
                  <c:v>50506.802860379241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(3)'!$B$3:$O$3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(3)'!$B$6:$O$6</c:f>
              <c:numCache>
                <c:formatCode>General</c:formatCode>
                <c:ptCount val="14"/>
                <c:pt idx="0" formatCode="#,##0.00">
                  <c:v>11739.87</c:v>
                </c:pt>
                <c:pt idx="1">
                  <c:v>12443.18</c:v>
                </c:pt>
                <c:pt idx="2">
                  <c:v>12443.18</c:v>
                </c:pt>
                <c:pt idx="3">
                  <c:v>12443.18</c:v>
                </c:pt>
                <c:pt idx="4">
                  <c:v>12443.18</c:v>
                </c:pt>
                <c:pt idx="5">
                  <c:v>12443.18</c:v>
                </c:pt>
                <c:pt idx="6">
                  <c:v>12443.18</c:v>
                </c:pt>
                <c:pt idx="7">
                  <c:v>13149.28</c:v>
                </c:pt>
                <c:pt idx="8">
                  <c:v>13149.28</c:v>
                </c:pt>
                <c:pt idx="9">
                  <c:v>13149.28</c:v>
                </c:pt>
                <c:pt idx="10">
                  <c:v>13835.960000000001</c:v>
                </c:pt>
                <c:pt idx="11">
                  <c:v>13835.960000000001</c:v>
                </c:pt>
                <c:pt idx="12">
                  <c:v>15099.460000000001</c:v>
                </c:pt>
                <c:pt idx="13">
                  <c:v>15099.460000000001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0672"/>
        <c:axId val="-1914408288"/>
      </c:barChart>
      <c:lineChart>
        <c:grouping val="standard"/>
        <c:varyColors val="0"/>
        <c:ser>
          <c:idx val="3"/>
          <c:order val="3"/>
          <c:tx>
            <c:strRef>
              <c:f>'OUTLOOK 2022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(3)'!$B$3:$N$3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(3)'!$B$7:$O$7</c:f>
              <c:numCache>
                <c:formatCode>0.00%</c:formatCode>
                <c:ptCount val="14"/>
                <c:pt idx="0">
                  <c:v>0.82105565096758615</c:v>
                </c:pt>
                <c:pt idx="1">
                  <c:v>0.81033548540204003</c:v>
                </c:pt>
                <c:pt idx="2">
                  <c:v>0.81033548540204003</c:v>
                </c:pt>
                <c:pt idx="3">
                  <c:v>0.81033548540204003</c:v>
                </c:pt>
                <c:pt idx="4">
                  <c:v>0.81033548540204003</c:v>
                </c:pt>
                <c:pt idx="5">
                  <c:v>0.81033548540204003</c:v>
                </c:pt>
                <c:pt idx="6">
                  <c:v>0.81033548540204003</c:v>
                </c:pt>
                <c:pt idx="7">
                  <c:v>0.79957279340870557</c:v>
                </c:pt>
                <c:pt idx="8">
                  <c:v>0.79957279340870557</c:v>
                </c:pt>
                <c:pt idx="9">
                  <c:v>0.79957279340870557</c:v>
                </c:pt>
                <c:pt idx="10">
                  <c:v>0.78910610974069406</c:v>
                </c:pt>
                <c:pt idx="11">
                  <c:v>0.78910610974069406</c:v>
                </c:pt>
                <c:pt idx="12">
                  <c:v>0.76984727765801719</c:v>
                </c:pt>
                <c:pt idx="13">
                  <c:v>0.76984727765801719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6320"/>
        <c:axId val="-1914394688"/>
      </c:lineChart>
      <c:catAx>
        <c:axId val="-19144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8288"/>
        <c:crosses val="autoZero"/>
        <c:auto val="1"/>
        <c:lblAlgn val="ctr"/>
        <c:lblOffset val="100"/>
        <c:noMultiLvlLbl val="0"/>
      </c:catAx>
      <c:valAx>
        <c:axId val="-191440828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0672"/>
        <c:crosses val="autoZero"/>
        <c:crossBetween val="between"/>
      </c:valAx>
      <c:valAx>
        <c:axId val="-191439468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6320"/>
        <c:crosses val="max"/>
        <c:crossBetween val="between"/>
      </c:valAx>
      <c:catAx>
        <c:axId val="-191439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394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(3)'!$B$19:$O$19</c:f>
              <c:numCache>
                <c:formatCode>#,##0.00</c:formatCode>
                <c:ptCount val="14"/>
                <c:pt idx="0">
                  <c:v>53866.392860379245</c:v>
                </c:pt>
                <c:pt idx="1">
                  <c:v>53364.472860379239</c:v>
                </c:pt>
                <c:pt idx="2">
                  <c:v>53364.472860379239</c:v>
                </c:pt>
                <c:pt idx="3">
                  <c:v>53364.472860379239</c:v>
                </c:pt>
                <c:pt idx="4">
                  <c:v>53502.182860379238</c:v>
                </c:pt>
                <c:pt idx="5">
                  <c:v>53502.182860379238</c:v>
                </c:pt>
                <c:pt idx="6">
                  <c:v>53502.182860379238</c:v>
                </c:pt>
                <c:pt idx="7">
                  <c:v>52796.08286037924</c:v>
                </c:pt>
                <c:pt idx="8">
                  <c:v>53639.852860379237</c:v>
                </c:pt>
                <c:pt idx="9">
                  <c:v>53639.852860379237</c:v>
                </c:pt>
                <c:pt idx="10">
                  <c:v>52953.172860379236</c:v>
                </c:pt>
                <c:pt idx="11">
                  <c:v>53282.242860379236</c:v>
                </c:pt>
                <c:pt idx="12">
                  <c:v>52018.742860379236</c:v>
                </c:pt>
                <c:pt idx="13">
                  <c:v>52018.742860379236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(3)'!$B$20:$O$20</c:f>
              <c:numCache>
                <c:formatCode>General</c:formatCode>
                <c:ptCount val="14"/>
                <c:pt idx="0" formatCode="#,##0.00">
                  <c:v>11739.87</c:v>
                </c:pt>
                <c:pt idx="1">
                  <c:v>12241.79</c:v>
                </c:pt>
                <c:pt idx="2">
                  <c:v>12241.79</c:v>
                </c:pt>
                <c:pt idx="3">
                  <c:v>12241.79</c:v>
                </c:pt>
                <c:pt idx="4">
                  <c:v>12104.080000000002</c:v>
                </c:pt>
                <c:pt idx="5">
                  <c:v>12104.080000000002</c:v>
                </c:pt>
                <c:pt idx="6">
                  <c:v>12104.080000000002</c:v>
                </c:pt>
                <c:pt idx="7">
                  <c:v>12810.180000000002</c:v>
                </c:pt>
                <c:pt idx="8">
                  <c:v>11966.410000000002</c:v>
                </c:pt>
                <c:pt idx="9">
                  <c:v>11966.410000000002</c:v>
                </c:pt>
                <c:pt idx="10">
                  <c:v>12653.090000000002</c:v>
                </c:pt>
                <c:pt idx="11">
                  <c:v>12324.020000000002</c:v>
                </c:pt>
                <c:pt idx="12">
                  <c:v>13587.520000000002</c:v>
                </c:pt>
                <c:pt idx="13">
                  <c:v>13587.520000000002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1216"/>
        <c:axId val="-1914395776"/>
      </c:barChart>
      <c:lineChart>
        <c:grouping val="standard"/>
        <c:varyColors val="0"/>
        <c:ser>
          <c:idx val="3"/>
          <c:order val="3"/>
          <c:tx>
            <c:strRef>
              <c:f>'OUTLOOK 2022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(3)'!$B$21:$O$21</c:f>
              <c:numCache>
                <c:formatCode>0.00%</c:formatCode>
                <c:ptCount val="14"/>
                <c:pt idx="0">
                  <c:v>0.82105565096758615</c:v>
                </c:pt>
                <c:pt idx="1">
                  <c:v>0.81340516185089651</c:v>
                </c:pt>
                <c:pt idx="2">
                  <c:v>0.81340516185089651</c:v>
                </c:pt>
                <c:pt idx="3">
                  <c:v>0.81340516185089651</c:v>
                </c:pt>
                <c:pt idx="4">
                  <c:v>0.81550419925976514</c:v>
                </c:pt>
                <c:pt idx="5">
                  <c:v>0.81550419925976514</c:v>
                </c:pt>
                <c:pt idx="6">
                  <c:v>0.81550419925976514</c:v>
                </c:pt>
                <c:pt idx="7">
                  <c:v>0.80474150726643068</c:v>
                </c:pt>
                <c:pt idx="8">
                  <c:v>0.81760262697074415</c:v>
                </c:pt>
                <c:pt idx="9">
                  <c:v>0.81760262697074415</c:v>
                </c:pt>
                <c:pt idx="10">
                  <c:v>0.80713594330273275</c:v>
                </c:pt>
                <c:pt idx="11">
                  <c:v>0.81215177541468087</c:v>
                </c:pt>
                <c:pt idx="12">
                  <c:v>0.792892943332004</c:v>
                </c:pt>
                <c:pt idx="13">
                  <c:v>0.792892943332004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4144"/>
        <c:axId val="-1914400128"/>
      </c:lineChart>
      <c:catAx>
        <c:axId val="-191440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5776"/>
        <c:crosses val="autoZero"/>
        <c:auto val="1"/>
        <c:lblAlgn val="ctr"/>
        <c:lblOffset val="100"/>
        <c:noMultiLvlLbl val="0"/>
      </c:catAx>
      <c:valAx>
        <c:axId val="-1914395776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1216"/>
        <c:crosses val="autoZero"/>
        <c:crossBetween val="between"/>
      </c:valAx>
      <c:valAx>
        <c:axId val="-191440012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4144"/>
        <c:crosses val="max"/>
        <c:crossBetween val="between"/>
      </c:valAx>
      <c:catAx>
        <c:axId val="-1914394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400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(3)'!$B$5:$O$5</c:f>
              <c:numCache>
                <c:formatCode>#,##0.00</c:formatCode>
                <c:ptCount val="14"/>
                <c:pt idx="0">
                  <c:v>52018.742860379236</c:v>
                </c:pt>
                <c:pt idx="1">
                  <c:v>50355.072860379238</c:v>
                </c:pt>
                <c:pt idx="2">
                  <c:v>50355.072860379238</c:v>
                </c:pt>
                <c:pt idx="3">
                  <c:v>48807.392860379237</c:v>
                </c:pt>
                <c:pt idx="4">
                  <c:v>48807.392860379237</c:v>
                </c:pt>
                <c:pt idx="5">
                  <c:v>48807.392860379237</c:v>
                </c:pt>
                <c:pt idx="6">
                  <c:v>48807.392860379237</c:v>
                </c:pt>
                <c:pt idx="7">
                  <c:v>48807.392860379237</c:v>
                </c:pt>
                <c:pt idx="8">
                  <c:v>48807.392860379237</c:v>
                </c:pt>
                <c:pt idx="9">
                  <c:v>48671.412860379234</c:v>
                </c:pt>
                <c:pt idx="10">
                  <c:v>48671.412860379234</c:v>
                </c:pt>
                <c:pt idx="11">
                  <c:v>48671.412860379234</c:v>
                </c:pt>
                <c:pt idx="12">
                  <c:v>48671.412860379234</c:v>
                </c:pt>
                <c:pt idx="13">
                  <c:v>48671.412860379234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(3)'!$B$6:$O$6</c:f>
              <c:numCache>
                <c:formatCode>General</c:formatCode>
                <c:ptCount val="14"/>
                <c:pt idx="0">
                  <c:v>13587.520000000002</c:v>
                </c:pt>
                <c:pt idx="1">
                  <c:v>15251.190000000002</c:v>
                </c:pt>
                <c:pt idx="2">
                  <c:v>15251.190000000002</c:v>
                </c:pt>
                <c:pt idx="3">
                  <c:v>16798.870000000003</c:v>
                </c:pt>
                <c:pt idx="4">
                  <c:v>16798.870000000003</c:v>
                </c:pt>
                <c:pt idx="5">
                  <c:v>16798.870000000003</c:v>
                </c:pt>
                <c:pt idx="6">
                  <c:v>16798.870000000003</c:v>
                </c:pt>
                <c:pt idx="7">
                  <c:v>16798.870000000003</c:v>
                </c:pt>
                <c:pt idx="8">
                  <c:v>16798.870000000003</c:v>
                </c:pt>
                <c:pt idx="9">
                  <c:v>16934.850000000002</c:v>
                </c:pt>
                <c:pt idx="10">
                  <c:v>16934.850000000002</c:v>
                </c:pt>
                <c:pt idx="11">
                  <c:v>16934.850000000002</c:v>
                </c:pt>
                <c:pt idx="12">
                  <c:v>16934.850000000002</c:v>
                </c:pt>
                <c:pt idx="13">
                  <c:v>16934.850000000002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3936"/>
        <c:axId val="-1914403392"/>
      </c:barChart>
      <c:lineChart>
        <c:grouping val="standard"/>
        <c:varyColors val="0"/>
        <c:ser>
          <c:idx val="3"/>
          <c:order val="3"/>
          <c:tx>
            <c:strRef>
              <c:f>'OUTLOOK 2023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(3)'!$B$7:$O$7</c:f>
              <c:numCache>
                <c:formatCode>0.00%</c:formatCode>
                <c:ptCount val="14"/>
                <c:pt idx="0">
                  <c:v>0.792892943332004</c:v>
                </c:pt>
                <c:pt idx="1">
                  <c:v>0.76753454113889996</c:v>
                </c:pt>
                <c:pt idx="2">
                  <c:v>0.76753454113889996</c:v>
                </c:pt>
                <c:pt idx="3">
                  <c:v>0.74394411040069874</c:v>
                </c:pt>
                <c:pt idx="4">
                  <c:v>0.74394411040069874</c:v>
                </c:pt>
                <c:pt idx="5">
                  <c:v>0.74394411040069874</c:v>
                </c:pt>
                <c:pt idx="6">
                  <c:v>0.74394411040069874</c:v>
                </c:pt>
                <c:pt idx="7">
                  <c:v>0.74394411040069874</c:v>
                </c:pt>
                <c:pt idx="8">
                  <c:v>0.74394411040069874</c:v>
                </c:pt>
                <c:pt idx="9">
                  <c:v>0.74187144242554848</c:v>
                </c:pt>
                <c:pt idx="10">
                  <c:v>0.74187144242554848</c:v>
                </c:pt>
                <c:pt idx="11">
                  <c:v>0.74187144242554848</c:v>
                </c:pt>
                <c:pt idx="12">
                  <c:v>0.74187144242554848</c:v>
                </c:pt>
                <c:pt idx="13">
                  <c:v>0.74187144242554848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9584"/>
        <c:axId val="-1914408832"/>
      </c:lineChart>
      <c:catAx>
        <c:axId val="-191440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3392"/>
        <c:crosses val="autoZero"/>
        <c:auto val="1"/>
        <c:lblAlgn val="ctr"/>
        <c:lblOffset val="100"/>
        <c:noMultiLvlLbl val="0"/>
      </c:catAx>
      <c:valAx>
        <c:axId val="-191440339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3936"/>
        <c:crosses val="autoZero"/>
        <c:crossBetween val="between"/>
      </c:valAx>
      <c:valAx>
        <c:axId val="-19144088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9584"/>
        <c:crosses val="max"/>
        <c:crossBetween val="between"/>
      </c:valAx>
      <c:catAx>
        <c:axId val="-1914399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408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(3)'!$B$19:$O$19</c:f>
              <c:numCache>
                <c:formatCode>#,##0.00</c:formatCode>
                <c:ptCount val="14"/>
                <c:pt idx="0" formatCode="General">
                  <c:v>52018.742860379236</c:v>
                </c:pt>
                <c:pt idx="1">
                  <c:v>50355.072860379238</c:v>
                </c:pt>
                <c:pt idx="2">
                  <c:v>52935.342860379242</c:v>
                </c:pt>
                <c:pt idx="3">
                  <c:v>51387.662860379234</c:v>
                </c:pt>
                <c:pt idx="4">
                  <c:v>51387.662860379234</c:v>
                </c:pt>
                <c:pt idx="5">
                  <c:v>51387.662860379234</c:v>
                </c:pt>
                <c:pt idx="6">
                  <c:v>56107.022860379235</c:v>
                </c:pt>
                <c:pt idx="7">
                  <c:v>56107.022860379235</c:v>
                </c:pt>
                <c:pt idx="8">
                  <c:v>56107.022860379235</c:v>
                </c:pt>
                <c:pt idx="9">
                  <c:v>55971.042860379239</c:v>
                </c:pt>
                <c:pt idx="10">
                  <c:v>57534.822860379238</c:v>
                </c:pt>
                <c:pt idx="11">
                  <c:v>57534.822860379238</c:v>
                </c:pt>
                <c:pt idx="12">
                  <c:v>57534.822860379238</c:v>
                </c:pt>
                <c:pt idx="13">
                  <c:v>57534.822860379238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(3)'!$B$20:$O$20</c:f>
              <c:numCache>
                <c:formatCode>General</c:formatCode>
                <c:ptCount val="14"/>
                <c:pt idx="0">
                  <c:v>13587.520000000002</c:v>
                </c:pt>
                <c:pt idx="1">
                  <c:v>15251.190000000002</c:v>
                </c:pt>
                <c:pt idx="2">
                  <c:v>12670.920000000002</c:v>
                </c:pt>
                <c:pt idx="3">
                  <c:v>14218.600000000002</c:v>
                </c:pt>
                <c:pt idx="4">
                  <c:v>14218.600000000002</c:v>
                </c:pt>
                <c:pt idx="5">
                  <c:v>14218.600000000002</c:v>
                </c:pt>
                <c:pt idx="6">
                  <c:v>9499.2400000000016</c:v>
                </c:pt>
                <c:pt idx="7">
                  <c:v>9499.2400000000016</c:v>
                </c:pt>
                <c:pt idx="8">
                  <c:v>9499.2400000000016</c:v>
                </c:pt>
                <c:pt idx="9">
                  <c:v>9635.2200000000012</c:v>
                </c:pt>
                <c:pt idx="10">
                  <c:v>8071.4400000000014</c:v>
                </c:pt>
                <c:pt idx="11">
                  <c:v>8071.4400000000014</c:v>
                </c:pt>
                <c:pt idx="12">
                  <c:v>8071.4400000000014</c:v>
                </c:pt>
                <c:pt idx="13">
                  <c:v>8071.4400000000014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6656"/>
        <c:axId val="-1914402304"/>
      </c:barChart>
      <c:lineChart>
        <c:grouping val="standard"/>
        <c:varyColors val="0"/>
        <c:ser>
          <c:idx val="3"/>
          <c:order val="3"/>
          <c:tx>
            <c:strRef>
              <c:f>'OUTLOOK 2023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(3)'!$B$21:$O$21</c:f>
              <c:numCache>
                <c:formatCode>0.00%</c:formatCode>
                <c:ptCount val="14"/>
                <c:pt idx="0">
                  <c:v>0.792892943332004</c:v>
                </c:pt>
                <c:pt idx="1">
                  <c:v>0.76753454113889996</c:v>
                </c:pt>
                <c:pt idx="2">
                  <c:v>0.806864170468515</c:v>
                </c:pt>
                <c:pt idx="3">
                  <c:v>0.78327373973031367</c:v>
                </c:pt>
                <c:pt idx="4">
                  <c:v>0.78327373973031367</c:v>
                </c:pt>
                <c:pt idx="5">
                  <c:v>0.78327373973031367</c:v>
                </c:pt>
                <c:pt idx="6">
                  <c:v>0.85520833551796838</c:v>
                </c:pt>
                <c:pt idx="7">
                  <c:v>0.85520833551796838</c:v>
                </c:pt>
                <c:pt idx="8">
                  <c:v>0.85520833551796838</c:v>
                </c:pt>
                <c:pt idx="9">
                  <c:v>0.85313566754281811</c:v>
                </c:pt>
                <c:pt idx="10">
                  <c:v>0.87697150168151883</c:v>
                </c:pt>
                <c:pt idx="11">
                  <c:v>0.87697150168151883</c:v>
                </c:pt>
                <c:pt idx="12">
                  <c:v>0.87697150168151883</c:v>
                </c:pt>
                <c:pt idx="13">
                  <c:v>0.87697150168151883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7952"/>
        <c:axId val="-1914398496"/>
      </c:lineChart>
      <c:catAx>
        <c:axId val="-191440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2304"/>
        <c:crosses val="autoZero"/>
        <c:auto val="1"/>
        <c:lblAlgn val="ctr"/>
        <c:lblOffset val="100"/>
        <c:noMultiLvlLbl val="0"/>
      </c:catAx>
      <c:valAx>
        <c:axId val="-1914402304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6656"/>
        <c:crosses val="autoZero"/>
        <c:crossBetween val="between"/>
      </c:valAx>
      <c:valAx>
        <c:axId val="-19143984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7952"/>
        <c:crosses val="max"/>
        <c:crossBetween val="between"/>
      </c:valAx>
      <c:catAx>
        <c:axId val="-1914397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398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319086</xdr:colOff>
      <xdr:row>7</xdr:row>
      <xdr:rowOff>176211</xdr:rowOff>
    </xdr:from>
    <xdr:to>
      <xdr:col>16</xdr:col>
      <xdr:colOff>28575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184150</xdr:colOff>
      <xdr:row>14</xdr:row>
      <xdr:rowOff>144780</xdr:rowOff>
    </xdr:from>
    <xdr:to>
      <xdr:col>20</xdr:col>
      <xdr:colOff>628650</xdr:colOff>
      <xdr:row>25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fitToPage="1"/>
  </sheetPr>
  <dimension ref="A1:AL170"/>
  <sheetViews>
    <sheetView showGridLines="0" tabSelected="1" topLeftCell="A114" zoomScale="65" zoomScaleNormal="70" zoomScalePageLayoutView="70" workbookViewId="0">
      <selection activeCell="I107" sqref="I107"/>
    </sheetView>
  </sheetViews>
  <sheetFormatPr defaultColWidth="8.6328125" defaultRowHeight="18" x14ac:dyDescent="0.4"/>
  <cols>
    <col min="1" max="1" width="3.36328125" style="17" customWidth="1"/>
    <col min="2" max="2" width="9.1796875" style="18" customWidth="1"/>
    <col min="3" max="3" width="13.81640625" style="19" hidden="1" customWidth="1"/>
    <col min="4" max="4" width="11.6328125" style="20" customWidth="1"/>
    <col min="5" max="5" width="11.6328125" style="20" hidden="1" customWidth="1"/>
    <col min="6" max="7" width="11.6328125" style="21" customWidth="1"/>
    <col min="8" max="8" width="2.6328125" style="22" customWidth="1"/>
    <col min="9" max="9" width="25.453125" style="23" customWidth="1"/>
    <col min="10" max="14" width="21.453125" style="23" customWidth="1"/>
    <col min="15" max="15" width="20.81640625" style="88" customWidth="1"/>
    <col min="16" max="16" width="1.81640625" style="88" customWidth="1"/>
    <col min="17" max="18" width="13.36328125" style="88" customWidth="1"/>
    <col min="19" max="31" width="9.6328125" style="20" customWidth="1"/>
    <col min="32" max="32" width="9.6328125" style="35" customWidth="1"/>
    <col min="33" max="33" width="9.6328125" style="32" customWidth="1"/>
    <col min="34" max="34" width="9.6328125" style="28" customWidth="1"/>
    <col min="35" max="35" width="9.6328125" style="20" customWidth="1"/>
    <col min="36" max="36" width="9.6328125" style="35" customWidth="1"/>
    <col min="37" max="37" width="9.6328125" style="32" customWidth="1"/>
    <col min="38" max="38" width="18.1796875" style="28" customWidth="1"/>
    <col min="39" max="39" width="22.1796875" style="28" customWidth="1"/>
    <col min="40" max="219" width="8.6328125" style="28"/>
    <col min="220" max="220" width="0.1796875" style="28" customWidth="1"/>
    <col min="221" max="221" width="10.6328125" style="28" customWidth="1"/>
    <col min="222" max="222" width="10.36328125" style="28" customWidth="1"/>
    <col min="223" max="223" width="19.6328125" style="28" customWidth="1"/>
    <col min="224" max="224" width="14.36328125" style="28" customWidth="1"/>
    <col min="225" max="225" width="13.6328125" style="28" customWidth="1"/>
    <col min="226" max="226" width="14.1796875" style="28" customWidth="1"/>
    <col min="227" max="227" width="14" style="28" customWidth="1"/>
    <col min="228" max="228" width="14.6328125" style="28" customWidth="1"/>
    <col min="229" max="229" width="19.36328125" style="28" customWidth="1"/>
    <col min="230" max="231" width="0" style="28" hidden="1" customWidth="1"/>
    <col min="232" max="232" width="10.1796875" style="28" customWidth="1"/>
    <col min="233" max="475" width="8.6328125" style="28"/>
    <col min="476" max="476" width="0.1796875" style="28" customWidth="1"/>
    <col min="477" max="477" width="10.6328125" style="28" customWidth="1"/>
    <col min="478" max="478" width="10.36328125" style="28" customWidth="1"/>
    <col min="479" max="479" width="19.6328125" style="28" customWidth="1"/>
    <col min="480" max="480" width="14.36328125" style="28" customWidth="1"/>
    <col min="481" max="481" width="13.6328125" style="28" customWidth="1"/>
    <col min="482" max="482" width="14.1796875" style="28" customWidth="1"/>
    <col min="483" max="483" width="14" style="28" customWidth="1"/>
    <col min="484" max="484" width="14.6328125" style="28" customWidth="1"/>
    <col min="485" max="485" width="19.36328125" style="28" customWidth="1"/>
    <col min="486" max="487" width="0" style="28" hidden="1" customWidth="1"/>
    <col min="488" max="488" width="10.1796875" style="28" customWidth="1"/>
    <col min="489" max="731" width="8.6328125" style="28"/>
    <col min="732" max="732" width="0.1796875" style="28" customWidth="1"/>
    <col min="733" max="733" width="10.6328125" style="28" customWidth="1"/>
    <col min="734" max="734" width="10.36328125" style="28" customWidth="1"/>
    <col min="735" max="735" width="19.6328125" style="28" customWidth="1"/>
    <col min="736" max="736" width="14.36328125" style="28" customWidth="1"/>
    <col min="737" max="737" width="13.6328125" style="28" customWidth="1"/>
    <col min="738" max="738" width="14.1796875" style="28" customWidth="1"/>
    <col min="739" max="739" width="14" style="28" customWidth="1"/>
    <col min="740" max="740" width="14.6328125" style="28" customWidth="1"/>
    <col min="741" max="741" width="19.36328125" style="28" customWidth="1"/>
    <col min="742" max="743" width="0" style="28" hidden="1" customWidth="1"/>
    <col min="744" max="744" width="10.1796875" style="28" customWidth="1"/>
    <col min="745" max="987" width="8.6328125" style="28"/>
    <col min="988" max="988" width="0.1796875" style="28" customWidth="1"/>
    <col min="989" max="989" width="10.6328125" style="28" customWidth="1"/>
    <col min="990" max="990" width="10.36328125" style="28" customWidth="1"/>
    <col min="991" max="991" width="19.6328125" style="28" customWidth="1"/>
    <col min="992" max="992" width="14.36328125" style="28" customWidth="1"/>
    <col min="993" max="993" width="13.6328125" style="28" customWidth="1"/>
    <col min="994" max="994" width="14.1796875" style="28" customWidth="1"/>
    <col min="995" max="995" width="14" style="28" customWidth="1"/>
    <col min="996" max="996" width="14.6328125" style="28" customWidth="1"/>
    <col min="997" max="997" width="19.36328125" style="28" customWidth="1"/>
    <col min="998" max="999" width="0" style="28" hidden="1" customWidth="1"/>
    <col min="1000" max="1000" width="10.1796875" style="28" customWidth="1"/>
    <col min="1001" max="1243" width="8.6328125" style="28"/>
    <col min="1244" max="1244" width="0.1796875" style="28" customWidth="1"/>
    <col min="1245" max="1245" width="10.6328125" style="28" customWidth="1"/>
    <col min="1246" max="1246" width="10.36328125" style="28" customWidth="1"/>
    <col min="1247" max="1247" width="19.6328125" style="28" customWidth="1"/>
    <col min="1248" max="1248" width="14.36328125" style="28" customWidth="1"/>
    <col min="1249" max="1249" width="13.6328125" style="28" customWidth="1"/>
    <col min="1250" max="1250" width="14.1796875" style="28" customWidth="1"/>
    <col min="1251" max="1251" width="14" style="28" customWidth="1"/>
    <col min="1252" max="1252" width="14.6328125" style="28" customWidth="1"/>
    <col min="1253" max="1253" width="19.36328125" style="28" customWidth="1"/>
    <col min="1254" max="1255" width="0" style="28" hidden="1" customWidth="1"/>
    <col min="1256" max="1256" width="10.1796875" style="28" customWidth="1"/>
    <col min="1257" max="1499" width="8.6328125" style="28"/>
    <col min="1500" max="1500" width="0.1796875" style="28" customWidth="1"/>
    <col min="1501" max="1501" width="10.6328125" style="28" customWidth="1"/>
    <col min="1502" max="1502" width="10.36328125" style="28" customWidth="1"/>
    <col min="1503" max="1503" width="19.6328125" style="28" customWidth="1"/>
    <col min="1504" max="1504" width="14.36328125" style="28" customWidth="1"/>
    <col min="1505" max="1505" width="13.6328125" style="28" customWidth="1"/>
    <col min="1506" max="1506" width="14.1796875" style="28" customWidth="1"/>
    <col min="1507" max="1507" width="14" style="28" customWidth="1"/>
    <col min="1508" max="1508" width="14.6328125" style="28" customWidth="1"/>
    <col min="1509" max="1509" width="19.36328125" style="28" customWidth="1"/>
    <col min="1510" max="1511" width="0" style="28" hidden="1" customWidth="1"/>
    <col min="1512" max="1512" width="10.1796875" style="28" customWidth="1"/>
    <col min="1513" max="1755" width="8.6328125" style="28"/>
    <col min="1756" max="1756" width="0.1796875" style="28" customWidth="1"/>
    <col min="1757" max="1757" width="10.6328125" style="28" customWidth="1"/>
    <col min="1758" max="1758" width="10.36328125" style="28" customWidth="1"/>
    <col min="1759" max="1759" width="19.6328125" style="28" customWidth="1"/>
    <col min="1760" max="1760" width="14.36328125" style="28" customWidth="1"/>
    <col min="1761" max="1761" width="13.6328125" style="28" customWidth="1"/>
    <col min="1762" max="1762" width="14.1796875" style="28" customWidth="1"/>
    <col min="1763" max="1763" width="14" style="28" customWidth="1"/>
    <col min="1764" max="1764" width="14.6328125" style="28" customWidth="1"/>
    <col min="1765" max="1765" width="19.36328125" style="28" customWidth="1"/>
    <col min="1766" max="1767" width="0" style="28" hidden="1" customWidth="1"/>
    <col min="1768" max="1768" width="10.1796875" style="28" customWidth="1"/>
    <col min="1769" max="2011" width="8.6328125" style="28"/>
    <col min="2012" max="2012" width="0.1796875" style="28" customWidth="1"/>
    <col min="2013" max="2013" width="10.6328125" style="28" customWidth="1"/>
    <col min="2014" max="2014" width="10.36328125" style="28" customWidth="1"/>
    <col min="2015" max="2015" width="19.6328125" style="28" customWidth="1"/>
    <col min="2016" max="2016" width="14.36328125" style="28" customWidth="1"/>
    <col min="2017" max="2017" width="13.6328125" style="28" customWidth="1"/>
    <col min="2018" max="2018" width="14.1796875" style="28" customWidth="1"/>
    <col min="2019" max="2019" width="14" style="28" customWidth="1"/>
    <col min="2020" max="2020" width="14.6328125" style="28" customWidth="1"/>
    <col min="2021" max="2021" width="19.36328125" style="28" customWidth="1"/>
    <col min="2022" max="2023" width="0" style="28" hidden="1" customWidth="1"/>
    <col min="2024" max="2024" width="10.1796875" style="28" customWidth="1"/>
    <col min="2025" max="2267" width="8.6328125" style="28"/>
    <col min="2268" max="2268" width="0.1796875" style="28" customWidth="1"/>
    <col min="2269" max="2269" width="10.6328125" style="28" customWidth="1"/>
    <col min="2270" max="2270" width="10.36328125" style="28" customWidth="1"/>
    <col min="2271" max="2271" width="19.6328125" style="28" customWidth="1"/>
    <col min="2272" max="2272" width="14.36328125" style="28" customWidth="1"/>
    <col min="2273" max="2273" width="13.6328125" style="28" customWidth="1"/>
    <col min="2274" max="2274" width="14.1796875" style="28" customWidth="1"/>
    <col min="2275" max="2275" width="14" style="28" customWidth="1"/>
    <col min="2276" max="2276" width="14.6328125" style="28" customWidth="1"/>
    <col min="2277" max="2277" width="19.36328125" style="28" customWidth="1"/>
    <col min="2278" max="2279" width="0" style="28" hidden="1" customWidth="1"/>
    <col min="2280" max="2280" width="10.1796875" style="28" customWidth="1"/>
    <col min="2281" max="2523" width="8.6328125" style="28"/>
    <col min="2524" max="2524" width="0.1796875" style="28" customWidth="1"/>
    <col min="2525" max="2525" width="10.6328125" style="28" customWidth="1"/>
    <col min="2526" max="2526" width="10.36328125" style="28" customWidth="1"/>
    <col min="2527" max="2527" width="19.6328125" style="28" customWidth="1"/>
    <col min="2528" max="2528" width="14.36328125" style="28" customWidth="1"/>
    <col min="2529" max="2529" width="13.6328125" style="28" customWidth="1"/>
    <col min="2530" max="2530" width="14.1796875" style="28" customWidth="1"/>
    <col min="2531" max="2531" width="14" style="28" customWidth="1"/>
    <col min="2532" max="2532" width="14.6328125" style="28" customWidth="1"/>
    <col min="2533" max="2533" width="19.36328125" style="28" customWidth="1"/>
    <col min="2534" max="2535" width="0" style="28" hidden="1" customWidth="1"/>
    <col min="2536" max="2536" width="10.1796875" style="28" customWidth="1"/>
    <col min="2537" max="2779" width="8.6328125" style="28"/>
    <col min="2780" max="2780" width="0.1796875" style="28" customWidth="1"/>
    <col min="2781" max="2781" width="10.6328125" style="28" customWidth="1"/>
    <col min="2782" max="2782" width="10.36328125" style="28" customWidth="1"/>
    <col min="2783" max="2783" width="19.6328125" style="28" customWidth="1"/>
    <col min="2784" max="2784" width="14.36328125" style="28" customWidth="1"/>
    <col min="2785" max="2785" width="13.6328125" style="28" customWidth="1"/>
    <col min="2786" max="2786" width="14.1796875" style="28" customWidth="1"/>
    <col min="2787" max="2787" width="14" style="28" customWidth="1"/>
    <col min="2788" max="2788" width="14.6328125" style="28" customWidth="1"/>
    <col min="2789" max="2789" width="19.36328125" style="28" customWidth="1"/>
    <col min="2790" max="2791" width="0" style="28" hidden="1" customWidth="1"/>
    <col min="2792" max="2792" width="10.1796875" style="28" customWidth="1"/>
    <col min="2793" max="3035" width="8.6328125" style="28"/>
    <col min="3036" max="3036" width="0.1796875" style="28" customWidth="1"/>
    <col min="3037" max="3037" width="10.6328125" style="28" customWidth="1"/>
    <col min="3038" max="3038" width="10.36328125" style="28" customWidth="1"/>
    <col min="3039" max="3039" width="19.6328125" style="28" customWidth="1"/>
    <col min="3040" max="3040" width="14.36328125" style="28" customWidth="1"/>
    <col min="3041" max="3041" width="13.6328125" style="28" customWidth="1"/>
    <col min="3042" max="3042" width="14.1796875" style="28" customWidth="1"/>
    <col min="3043" max="3043" width="14" style="28" customWidth="1"/>
    <col min="3044" max="3044" width="14.6328125" style="28" customWidth="1"/>
    <col min="3045" max="3045" width="19.36328125" style="28" customWidth="1"/>
    <col min="3046" max="3047" width="0" style="28" hidden="1" customWidth="1"/>
    <col min="3048" max="3048" width="10.1796875" style="28" customWidth="1"/>
    <col min="3049" max="3291" width="8.6328125" style="28"/>
    <col min="3292" max="3292" width="0.1796875" style="28" customWidth="1"/>
    <col min="3293" max="3293" width="10.6328125" style="28" customWidth="1"/>
    <col min="3294" max="3294" width="10.36328125" style="28" customWidth="1"/>
    <col min="3295" max="3295" width="19.6328125" style="28" customWidth="1"/>
    <col min="3296" max="3296" width="14.36328125" style="28" customWidth="1"/>
    <col min="3297" max="3297" width="13.6328125" style="28" customWidth="1"/>
    <col min="3298" max="3298" width="14.1796875" style="28" customWidth="1"/>
    <col min="3299" max="3299" width="14" style="28" customWidth="1"/>
    <col min="3300" max="3300" width="14.6328125" style="28" customWidth="1"/>
    <col min="3301" max="3301" width="19.36328125" style="28" customWidth="1"/>
    <col min="3302" max="3303" width="0" style="28" hidden="1" customWidth="1"/>
    <col min="3304" max="3304" width="10.1796875" style="28" customWidth="1"/>
    <col min="3305" max="3547" width="8.6328125" style="28"/>
    <col min="3548" max="3548" width="0.1796875" style="28" customWidth="1"/>
    <col min="3549" max="3549" width="10.6328125" style="28" customWidth="1"/>
    <col min="3550" max="3550" width="10.36328125" style="28" customWidth="1"/>
    <col min="3551" max="3551" width="19.6328125" style="28" customWidth="1"/>
    <col min="3552" max="3552" width="14.36328125" style="28" customWidth="1"/>
    <col min="3553" max="3553" width="13.6328125" style="28" customWidth="1"/>
    <col min="3554" max="3554" width="14.1796875" style="28" customWidth="1"/>
    <col min="3555" max="3555" width="14" style="28" customWidth="1"/>
    <col min="3556" max="3556" width="14.6328125" style="28" customWidth="1"/>
    <col min="3557" max="3557" width="19.36328125" style="28" customWidth="1"/>
    <col min="3558" max="3559" width="0" style="28" hidden="1" customWidth="1"/>
    <col min="3560" max="3560" width="10.1796875" style="28" customWidth="1"/>
    <col min="3561" max="3803" width="8.6328125" style="28"/>
    <col min="3804" max="3804" width="0.1796875" style="28" customWidth="1"/>
    <col min="3805" max="3805" width="10.6328125" style="28" customWidth="1"/>
    <col min="3806" max="3806" width="10.36328125" style="28" customWidth="1"/>
    <col min="3807" max="3807" width="19.6328125" style="28" customWidth="1"/>
    <col min="3808" max="3808" width="14.36328125" style="28" customWidth="1"/>
    <col min="3809" max="3809" width="13.6328125" style="28" customWidth="1"/>
    <col min="3810" max="3810" width="14.1796875" style="28" customWidth="1"/>
    <col min="3811" max="3811" width="14" style="28" customWidth="1"/>
    <col min="3812" max="3812" width="14.6328125" style="28" customWidth="1"/>
    <col min="3813" max="3813" width="19.36328125" style="28" customWidth="1"/>
    <col min="3814" max="3815" width="0" style="28" hidden="1" customWidth="1"/>
    <col min="3816" max="3816" width="10.1796875" style="28" customWidth="1"/>
    <col min="3817" max="4059" width="8.6328125" style="28"/>
    <col min="4060" max="4060" width="0.1796875" style="28" customWidth="1"/>
    <col min="4061" max="4061" width="10.6328125" style="28" customWidth="1"/>
    <col min="4062" max="4062" width="10.36328125" style="28" customWidth="1"/>
    <col min="4063" max="4063" width="19.6328125" style="28" customWidth="1"/>
    <col min="4064" max="4064" width="14.36328125" style="28" customWidth="1"/>
    <col min="4065" max="4065" width="13.6328125" style="28" customWidth="1"/>
    <col min="4066" max="4066" width="14.1796875" style="28" customWidth="1"/>
    <col min="4067" max="4067" width="14" style="28" customWidth="1"/>
    <col min="4068" max="4068" width="14.6328125" style="28" customWidth="1"/>
    <col min="4069" max="4069" width="19.36328125" style="28" customWidth="1"/>
    <col min="4070" max="4071" width="0" style="28" hidden="1" customWidth="1"/>
    <col min="4072" max="4072" width="10.1796875" style="28" customWidth="1"/>
    <col min="4073" max="4315" width="8.6328125" style="28"/>
    <col min="4316" max="4316" width="0.1796875" style="28" customWidth="1"/>
    <col min="4317" max="4317" width="10.6328125" style="28" customWidth="1"/>
    <col min="4318" max="4318" width="10.36328125" style="28" customWidth="1"/>
    <col min="4319" max="4319" width="19.6328125" style="28" customWidth="1"/>
    <col min="4320" max="4320" width="14.36328125" style="28" customWidth="1"/>
    <col min="4321" max="4321" width="13.6328125" style="28" customWidth="1"/>
    <col min="4322" max="4322" width="14.1796875" style="28" customWidth="1"/>
    <col min="4323" max="4323" width="14" style="28" customWidth="1"/>
    <col min="4324" max="4324" width="14.6328125" style="28" customWidth="1"/>
    <col min="4325" max="4325" width="19.36328125" style="28" customWidth="1"/>
    <col min="4326" max="4327" width="0" style="28" hidden="1" customWidth="1"/>
    <col min="4328" max="4328" width="10.1796875" style="28" customWidth="1"/>
    <col min="4329" max="4571" width="8.6328125" style="28"/>
    <col min="4572" max="4572" width="0.1796875" style="28" customWidth="1"/>
    <col min="4573" max="4573" width="10.6328125" style="28" customWidth="1"/>
    <col min="4574" max="4574" width="10.36328125" style="28" customWidth="1"/>
    <col min="4575" max="4575" width="19.6328125" style="28" customWidth="1"/>
    <col min="4576" max="4576" width="14.36328125" style="28" customWidth="1"/>
    <col min="4577" max="4577" width="13.6328125" style="28" customWidth="1"/>
    <col min="4578" max="4578" width="14.1796875" style="28" customWidth="1"/>
    <col min="4579" max="4579" width="14" style="28" customWidth="1"/>
    <col min="4580" max="4580" width="14.6328125" style="28" customWidth="1"/>
    <col min="4581" max="4581" width="19.36328125" style="28" customWidth="1"/>
    <col min="4582" max="4583" width="0" style="28" hidden="1" customWidth="1"/>
    <col min="4584" max="4584" width="10.1796875" style="28" customWidth="1"/>
    <col min="4585" max="4827" width="8.6328125" style="28"/>
    <col min="4828" max="4828" width="0.1796875" style="28" customWidth="1"/>
    <col min="4829" max="4829" width="10.6328125" style="28" customWidth="1"/>
    <col min="4830" max="4830" width="10.36328125" style="28" customWidth="1"/>
    <col min="4831" max="4831" width="19.6328125" style="28" customWidth="1"/>
    <col min="4832" max="4832" width="14.36328125" style="28" customWidth="1"/>
    <col min="4833" max="4833" width="13.6328125" style="28" customWidth="1"/>
    <col min="4834" max="4834" width="14.1796875" style="28" customWidth="1"/>
    <col min="4835" max="4835" width="14" style="28" customWidth="1"/>
    <col min="4836" max="4836" width="14.6328125" style="28" customWidth="1"/>
    <col min="4837" max="4837" width="19.36328125" style="28" customWidth="1"/>
    <col min="4838" max="4839" width="0" style="28" hidden="1" customWidth="1"/>
    <col min="4840" max="4840" width="10.1796875" style="28" customWidth="1"/>
    <col min="4841" max="5083" width="8.6328125" style="28"/>
    <col min="5084" max="5084" width="0.1796875" style="28" customWidth="1"/>
    <col min="5085" max="5085" width="10.6328125" style="28" customWidth="1"/>
    <col min="5086" max="5086" width="10.36328125" style="28" customWidth="1"/>
    <col min="5087" max="5087" width="19.6328125" style="28" customWidth="1"/>
    <col min="5088" max="5088" width="14.36328125" style="28" customWidth="1"/>
    <col min="5089" max="5089" width="13.6328125" style="28" customWidth="1"/>
    <col min="5090" max="5090" width="14.1796875" style="28" customWidth="1"/>
    <col min="5091" max="5091" width="14" style="28" customWidth="1"/>
    <col min="5092" max="5092" width="14.6328125" style="28" customWidth="1"/>
    <col min="5093" max="5093" width="19.36328125" style="28" customWidth="1"/>
    <col min="5094" max="5095" width="0" style="28" hidden="1" customWidth="1"/>
    <col min="5096" max="5096" width="10.1796875" style="28" customWidth="1"/>
    <col min="5097" max="5339" width="8.6328125" style="28"/>
    <col min="5340" max="5340" width="0.1796875" style="28" customWidth="1"/>
    <col min="5341" max="5341" width="10.6328125" style="28" customWidth="1"/>
    <col min="5342" max="5342" width="10.36328125" style="28" customWidth="1"/>
    <col min="5343" max="5343" width="19.6328125" style="28" customWidth="1"/>
    <col min="5344" max="5344" width="14.36328125" style="28" customWidth="1"/>
    <col min="5345" max="5345" width="13.6328125" style="28" customWidth="1"/>
    <col min="5346" max="5346" width="14.1796875" style="28" customWidth="1"/>
    <col min="5347" max="5347" width="14" style="28" customWidth="1"/>
    <col min="5348" max="5348" width="14.6328125" style="28" customWidth="1"/>
    <col min="5349" max="5349" width="19.36328125" style="28" customWidth="1"/>
    <col min="5350" max="5351" width="0" style="28" hidden="1" customWidth="1"/>
    <col min="5352" max="5352" width="10.1796875" style="28" customWidth="1"/>
    <col min="5353" max="5595" width="8.6328125" style="28"/>
    <col min="5596" max="5596" width="0.1796875" style="28" customWidth="1"/>
    <col min="5597" max="5597" width="10.6328125" style="28" customWidth="1"/>
    <col min="5598" max="5598" width="10.36328125" style="28" customWidth="1"/>
    <col min="5599" max="5599" width="19.6328125" style="28" customWidth="1"/>
    <col min="5600" max="5600" width="14.36328125" style="28" customWidth="1"/>
    <col min="5601" max="5601" width="13.6328125" style="28" customWidth="1"/>
    <col min="5602" max="5602" width="14.1796875" style="28" customWidth="1"/>
    <col min="5603" max="5603" width="14" style="28" customWidth="1"/>
    <col min="5604" max="5604" width="14.6328125" style="28" customWidth="1"/>
    <col min="5605" max="5605" width="19.36328125" style="28" customWidth="1"/>
    <col min="5606" max="5607" width="0" style="28" hidden="1" customWidth="1"/>
    <col min="5608" max="5608" width="10.1796875" style="28" customWidth="1"/>
    <col min="5609" max="5851" width="8.6328125" style="28"/>
    <col min="5852" max="5852" width="0.1796875" style="28" customWidth="1"/>
    <col min="5853" max="5853" width="10.6328125" style="28" customWidth="1"/>
    <col min="5854" max="5854" width="10.36328125" style="28" customWidth="1"/>
    <col min="5855" max="5855" width="19.6328125" style="28" customWidth="1"/>
    <col min="5856" max="5856" width="14.36328125" style="28" customWidth="1"/>
    <col min="5857" max="5857" width="13.6328125" style="28" customWidth="1"/>
    <col min="5858" max="5858" width="14.1796875" style="28" customWidth="1"/>
    <col min="5859" max="5859" width="14" style="28" customWidth="1"/>
    <col min="5860" max="5860" width="14.6328125" style="28" customWidth="1"/>
    <col min="5861" max="5861" width="19.36328125" style="28" customWidth="1"/>
    <col min="5862" max="5863" width="0" style="28" hidden="1" customWidth="1"/>
    <col min="5864" max="5864" width="10.1796875" style="28" customWidth="1"/>
    <col min="5865" max="6107" width="8.6328125" style="28"/>
    <col min="6108" max="6108" width="0.1796875" style="28" customWidth="1"/>
    <col min="6109" max="6109" width="10.6328125" style="28" customWidth="1"/>
    <col min="6110" max="6110" width="10.36328125" style="28" customWidth="1"/>
    <col min="6111" max="6111" width="19.6328125" style="28" customWidth="1"/>
    <col min="6112" max="6112" width="14.36328125" style="28" customWidth="1"/>
    <col min="6113" max="6113" width="13.6328125" style="28" customWidth="1"/>
    <col min="6114" max="6114" width="14.1796875" style="28" customWidth="1"/>
    <col min="6115" max="6115" width="14" style="28" customWidth="1"/>
    <col min="6116" max="6116" width="14.6328125" style="28" customWidth="1"/>
    <col min="6117" max="6117" width="19.36328125" style="28" customWidth="1"/>
    <col min="6118" max="6119" width="0" style="28" hidden="1" customWidth="1"/>
    <col min="6120" max="6120" width="10.1796875" style="28" customWidth="1"/>
    <col min="6121" max="6363" width="8.6328125" style="28"/>
    <col min="6364" max="6364" width="0.1796875" style="28" customWidth="1"/>
    <col min="6365" max="6365" width="10.6328125" style="28" customWidth="1"/>
    <col min="6366" max="6366" width="10.36328125" style="28" customWidth="1"/>
    <col min="6367" max="6367" width="19.6328125" style="28" customWidth="1"/>
    <col min="6368" max="6368" width="14.36328125" style="28" customWidth="1"/>
    <col min="6369" max="6369" width="13.6328125" style="28" customWidth="1"/>
    <col min="6370" max="6370" width="14.1796875" style="28" customWidth="1"/>
    <col min="6371" max="6371" width="14" style="28" customWidth="1"/>
    <col min="6372" max="6372" width="14.6328125" style="28" customWidth="1"/>
    <col min="6373" max="6373" width="19.36328125" style="28" customWidth="1"/>
    <col min="6374" max="6375" width="0" style="28" hidden="1" customWidth="1"/>
    <col min="6376" max="6376" width="10.1796875" style="28" customWidth="1"/>
    <col min="6377" max="6619" width="8.6328125" style="28"/>
    <col min="6620" max="6620" width="0.1796875" style="28" customWidth="1"/>
    <col min="6621" max="6621" width="10.6328125" style="28" customWidth="1"/>
    <col min="6622" max="6622" width="10.36328125" style="28" customWidth="1"/>
    <col min="6623" max="6623" width="19.6328125" style="28" customWidth="1"/>
    <col min="6624" max="6624" width="14.36328125" style="28" customWidth="1"/>
    <col min="6625" max="6625" width="13.6328125" style="28" customWidth="1"/>
    <col min="6626" max="6626" width="14.1796875" style="28" customWidth="1"/>
    <col min="6627" max="6627" width="14" style="28" customWidth="1"/>
    <col min="6628" max="6628" width="14.6328125" style="28" customWidth="1"/>
    <col min="6629" max="6629" width="19.36328125" style="28" customWidth="1"/>
    <col min="6630" max="6631" width="0" style="28" hidden="1" customWidth="1"/>
    <col min="6632" max="6632" width="10.1796875" style="28" customWidth="1"/>
    <col min="6633" max="6875" width="8.6328125" style="28"/>
    <col min="6876" max="6876" width="0.1796875" style="28" customWidth="1"/>
    <col min="6877" max="6877" width="10.6328125" style="28" customWidth="1"/>
    <col min="6878" max="6878" width="10.36328125" style="28" customWidth="1"/>
    <col min="6879" max="6879" width="19.6328125" style="28" customWidth="1"/>
    <col min="6880" max="6880" width="14.36328125" style="28" customWidth="1"/>
    <col min="6881" max="6881" width="13.6328125" style="28" customWidth="1"/>
    <col min="6882" max="6882" width="14.1796875" style="28" customWidth="1"/>
    <col min="6883" max="6883" width="14" style="28" customWidth="1"/>
    <col min="6884" max="6884" width="14.6328125" style="28" customWidth="1"/>
    <col min="6885" max="6885" width="19.36328125" style="28" customWidth="1"/>
    <col min="6886" max="6887" width="0" style="28" hidden="1" customWidth="1"/>
    <col min="6888" max="6888" width="10.1796875" style="28" customWidth="1"/>
    <col min="6889" max="7131" width="8.6328125" style="28"/>
    <col min="7132" max="7132" width="0.1796875" style="28" customWidth="1"/>
    <col min="7133" max="7133" width="10.6328125" style="28" customWidth="1"/>
    <col min="7134" max="7134" width="10.36328125" style="28" customWidth="1"/>
    <col min="7135" max="7135" width="19.6328125" style="28" customWidth="1"/>
    <col min="7136" max="7136" width="14.36328125" style="28" customWidth="1"/>
    <col min="7137" max="7137" width="13.6328125" style="28" customWidth="1"/>
    <col min="7138" max="7138" width="14.1796875" style="28" customWidth="1"/>
    <col min="7139" max="7139" width="14" style="28" customWidth="1"/>
    <col min="7140" max="7140" width="14.6328125" style="28" customWidth="1"/>
    <col min="7141" max="7141" width="19.36328125" style="28" customWidth="1"/>
    <col min="7142" max="7143" width="0" style="28" hidden="1" customWidth="1"/>
    <col min="7144" max="7144" width="10.1796875" style="28" customWidth="1"/>
    <col min="7145" max="7387" width="8.6328125" style="28"/>
    <col min="7388" max="7388" width="0.1796875" style="28" customWidth="1"/>
    <col min="7389" max="7389" width="10.6328125" style="28" customWidth="1"/>
    <col min="7390" max="7390" width="10.36328125" style="28" customWidth="1"/>
    <col min="7391" max="7391" width="19.6328125" style="28" customWidth="1"/>
    <col min="7392" max="7392" width="14.36328125" style="28" customWidth="1"/>
    <col min="7393" max="7393" width="13.6328125" style="28" customWidth="1"/>
    <col min="7394" max="7394" width="14.1796875" style="28" customWidth="1"/>
    <col min="7395" max="7395" width="14" style="28" customWidth="1"/>
    <col min="7396" max="7396" width="14.6328125" style="28" customWidth="1"/>
    <col min="7397" max="7397" width="19.36328125" style="28" customWidth="1"/>
    <col min="7398" max="7399" width="0" style="28" hidden="1" customWidth="1"/>
    <col min="7400" max="7400" width="10.1796875" style="28" customWidth="1"/>
    <col min="7401" max="7643" width="8.6328125" style="28"/>
    <col min="7644" max="7644" width="0.1796875" style="28" customWidth="1"/>
    <col min="7645" max="7645" width="10.6328125" style="28" customWidth="1"/>
    <col min="7646" max="7646" width="10.36328125" style="28" customWidth="1"/>
    <col min="7647" max="7647" width="19.6328125" style="28" customWidth="1"/>
    <col min="7648" max="7648" width="14.36328125" style="28" customWidth="1"/>
    <col min="7649" max="7649" width="13.6328125" style="28" customWidth="1"/>
    <col min="7650" max="7650" width="14.1796875" style="28" customWidth="1"/>
    <col min="7651" max="7651" width="14" style="28" customWidth="1"/>
    <col min="7652" max="7652" width="14.6328125" style="28" customWidth="1"/>
    <col min="7653" max="7653" width="19.36328125" style="28" customWidth="1"/>
    <col min="7654" max="7655" width="0" style="28" hidden="1" customWidth="1"/>
    <col min="7656" max="7656" width="10.1796875" style="28" customWidth="1"/>
    <col min="7657" max="7899" width="8.6328125" style="28"/>
    <col min="7900" max="7900" width="0.1796875" style="28" customWidth="1"/>
    <col min="7901" max="7901" width="10.6328125" style="28" customWidth="1"/>
    <col min="7902" max="7902" width="10.36328125" style="28" customWidth="1"/>
    <col min="7903" max="7903" width="19.6328125" style="28" customWidth="1"/>
    <col min="7904" max="7904" width="14.36328125" style="28" customWidth="1"/>
    <col min="7905" max="7905" width="13.6328125" style="28" customWidth="1"/>
    <col min="7906" max="7906" width="14.1796875" style="28" customWidth="1"/>
    <col min="7907" max="7907" width="14" style="28" customWidth="1"/>
    <col min="7908" max="7908" width="14.6328125" style="28" customWidth="1"/>
    <col min="7909" max="7909" width="19.36328125" style="28" customWidth="1"/>
    <col min="7910" max="7911" width="0" style="28" hidden="1" customWidth="1"/>
    <col min="7912" max="7912" width="10.1796875" style="28" customWidth="1"/>
    <col min="7913" max="8155" width="8.6328125" style="28"/>
    <col min="8156" max="8156" width="0.1796875" style="28" customWidth="1"/>
    <col min="8157" max="8157" width="10.6328125" style="28" customWidth="1"/>
    <col min="8158" max="8158" width="10.36328125" style="28" customWidth="1"/>
    <col min="8159" max="8159" width="19.6328125" style="28" customWidth="1"/>
    <col min="8160" max="8160" width="14.36328125" style="28" customWidth="1"/>
    <col min="8161" max="8161" width="13.6328125" style="28" customWidth="1"/>
    <col min="8162" max="8162" width="14.1796875" style="28" customWidth="1"/>
    <col min="8163" max="8163" width="14" style="28" customWidth="1"/>
    <col min="8164" max="8164" width="14.6328125" style="28" customWidth="1"/>
    <col min="8165" max="8165" width="19.36328125" style="28" customWidth="1"/>
    <col min="8166" max="8167" width="0" style="28" hidden="1" customWidth="1"/>
    <col min="8168" max="8168" width="10.1796875" style="28" customWidth="1"/>
    <col min="8169" max="8411" width="8.6328125" style="28"/>
    <col min="8412" max="8412" width="0.1796875" style="28" customWidth="1"/>
    <col min="8413" max="8413" width="10.6328125" style="28" customWidth="1"/>
    <col min="8414" max="8414" width="10.36328125" style="28" customWidth="1"/>
    <col min="8415" max="8415" width="19.6328125" style="28" customWidth="1"/>
    <col min="8416" max="8416" width="14.36328125" style="28" customWidth="1"/>
    <col min="8417" max="8417" width="13.6328125" style="28" customWidth="1"/>
    <col min="8418" max="8418" width="14.1796875" style="28" customWidth="1"/>
    <col min="8419" max="8419" width="14" style="28" customWidth="1"/>
    <col min="8420" max="8420" width="14.6328125" style="28" customWidth="1"/>
    <col min="8421" max="8421" width="19.36328125" style="28" customWidth="1"/>
    <col min="8422" max="8423" width="0" style="28" hidden="1" customWidth="1"/>
    <col min="8424" max="8424" width="10.1796875" style="28" customWidth="1"/>
    <col min="8425" max="8667" width="8.6328125" style="28"/>
    <col min="8668" max="8668" width="0.1796875" style="28" customWidth="1"/>
    <col min="8669" max="8669" width="10.6328125" style="28" customWidth="1"/>
    <col min="8670" max="8670" width="10.36328125" style="28" customWidth="1"/>
    <col min="8671" max="8671" width="19.6328125" style="28" customWidth="1"/>
    <col min="8672" max="8672" width="14.36328125" style="28" customWidth="1"/>
    <col min="8673" max="8673" width="13.6328125" style="28" customWidth="1"/>
    <col min="8674" max="8674" width="14.1796875" style="28" customWidth="1"/>
    <col min="8675" max="8675" width="14" style="28" customWidth="1"/>
    <col min="8676" max="8676" width="14.6328125" style="28" customWidth="1"/>
    <col min="8677" max="8677" width="19.36328125" style="28" customWidth="1"/>
    <col min="8678" max="8679" width="0" style="28" hidden="1" customWidth="1"/>
    <col min="8680" max="8680" width="10.1796875" style="28" customWidth="1"/>
    <col min="8681" max="8923" width="8.6328125" style="28"/>
    <col min="8924" max="8924" width="0.1796875" style="28" customWidth="1"/>
    <col min="8925" max="8925" width="10.6328125" style="28" customWidth="1"/>
    <col min="8926" max="8926" width="10.36328125" style="28" customWidth="1"/>
    <col min="8927" max="8927" width="19.6328125" style="28" customWidth="1"/>
    <col min="8928" max="8928" width="14.36328125" style="28" customWidth="1"/>
    <col min="8929" max="8929" width="13.6328125" style="28" customWidth="1"/>
    <col min="8930" max="8930" width="14.1796875" style="28" customWidth="1"/>
    <col min="8931" max="8931" width="14" style="28" customWidth="1"/>
    <col min="8932" max="8932" width="14.6328125" style="28" customWidth="1"/>
    <col min="8933" max="8933" width="19.36328125" style="28" customWidth="1"/>
    <col min="8934" max="8935" width="0" style="28" hidden="1" customWidth="1"/>
    <col min="8936" max="8936" width="10.1796875" style="28" customWidth="1"/>
    <col min="8937" max="9179" width="8.6328125" style="28"/>
    <col min="9180" max="9180" width="0.1796875" style="28" customWidth="1"/>
    <col min="9181" max="9181" width="10.6328125" style="28" customWidth="1"/>
    <col min="9182" max="9182" width="10.36328125" style="28" customWidth="1"/>
    <col min="9183" max="9183" width="19.6328125" style="28" customWidth="1"/>
    <col min="9184" max="9184" width="14.36328125" style="28" customWidth="1"/>
    <col min="9185" max="9185" width="13.6328125" style="28" customWidth="1"/>
    <col min="9186" max="9186" width="14.1796875" style="28" customWidth="1"/>
    <col min="9187" max="9187" width="14" style="28" customWidth="1"/>
    <col min="9188" max="9188" width="14.6328125" style="28" customWidth="1"/>
    <col min="9189" max="9189" width="19.36328125" style="28" customWidth="1"/>
    <col min="9190" max="9191" width="0" style="28" hidden="1" customWidth="1"/>
    <col min="9192" max="9192" width="10.1796875" style="28" customWidth="1"/>
    <col min="9193" max="9435" width="8.6328125" style="28"/>
    <col min="9436" max="9436" width="0.1796875" style="28" customWidth="1"/>
    <col min="9437" max="9437" width="10.6328125" style="28" customWidth="1"/>
    <col min="9438" max="9438" width="10.36328125" style="28" customWidth="1"/>
    <col min="9439" max="9439" width="19.6328125" style="28" customWidth="1"/>
    <col min="9440" max="9440" width="14.36328125" style="28" customWidth="1"/>
    <col min="9441" max="9441" width="13.6328125" style="28" customWidth="1"/>
    <col min="9442" max="9442" width="14.1796875" style="28" customWidth="1"/>
    <col min="9443" max="9443" width="14" style="28" customWidth="1"/>
    <col min="9444" max="9444" width="14.6328125" style="28" customWidth="1"/>
    <col min="9445" max="9445" width="19.36328125" style="28" customWidth="1"/>
    <col min="9446" max="9447" width="0" style="28" hidden="1" customWidth="1"/>
    <col min="9448" max="9448" width="10.1796875" style="28" customWidth="1"/>
    <col min="9449" max="9691" width="8.6328125" style="28"/>
    <col min="9692" max="9692" width="0.1796875" style="28" customWidth="1"/>
    <col min="9693" max="9693" width="10.6328125" style="28" customWidth="1"/>
    <col min="9694" max="9694" width="10.36328125" style="28" customWidth="1"/>
    <col min="9695" max="9695" width="19.6328125" style="28" customWidth="1"/>
    <col min="9696" max="9696" width="14.36328125" style="28" customWidth="1"/>
    <col min="9697" max="9697" width="13.6328125" style="28" customWidth="1"/>
    <col min="9698" max="9698" width="14.1796875" style="28" customWidth="1"/>
    <col min="9699" max="9699" width="14" style="28" customWidth="1"/>
    <col min="9700" max="9700" width="14.6328125" style="28" customWidth="1"/>
    <col min="9701" max="9701" width="19.36328125" style="28" customWidth="1"/>
    <col min="9702" max="9703" width="0" style="28" hidden="1" customWidth="1"/>
    <col min="9704" max="9704" width="10.1796875" style="28" customWidth="1"/>
    <col min="9705" max="9947" width="8.6328125" style="28"/>
    <col min="9948" max="9948" width="0.1796875" style="28" customWidth="1"/>
    <col min="9949" max="9949" width="10.6328125" style="28" customWidth="1"/>
    <col min="9950" max="9950" width="10.36328125" style="28" customWidth="1"/>
    <col min="9951" max="9951" width="19.6328125" style="28" customWidth="1"/>
    <col min="9952" max="9952" width="14.36328125" style="28" customWidth="1"/>
    <col min="9953" max="9953" width="13.6328125" style="28" customWidth="1"/>
    <col min="9954" max="9954" width="14.1796875" style="28" customWidth="1"/>
    <col min="9955" max="9955" width="14" style="28" customWidth="1"/>
    <col min="9956" max="9956" width="14.6328125" style="28" customWidth="1"/>
    <col min="9957" max="9957" width="19.36328125" style="28" customWidth="1"/>
    <col min="9958" max="9959" width="0" style="28" hidden="1" customWidth="1"/>
    <col min="9960" max="9960" width="10.1796875" style="28" customWidth="1"/>
    <col min="9961" max="10203" width="8.6328125" style="28"/>
    <col min="10204" max="10204" width="0.1796875" style="28" customWidth="1"/>
    <col min="10205" max="10205" width="10.6328125" style="28" customWidth="1"/>
    <col min="10206" max="10206" width="10.36328125" style="28" customWidth="1"/>
    <col min="10207" max="10207" width="19.6328125" style="28" customWidth="1"/>
    <col min="10208" max="10208" width="14.36328125" style="28" customWidth="1"/>
    <col min="10209" max="10209" width="13.6328125" style="28" customWidth="1"/>
    <col min="10210" max="10210" width="14.1796875" style="28" customWidth="1"/>
    <col min="10211" max="10211" width="14" style="28" customWidth="1"/>
    <col min="10212" max="10212" width="14.6328125" style="28" customWidth="1"/>
    <col min="10213" max="10213" width="19.36328125" style="28" customWidth="1"/>
    <col min="10214" max="10215" width="0" style="28" hidden="1" customWidth="1"/>
    <col min="10216" max="10216" width="10.1796875" style="28" customWidth="1"/>
    <col min="10217" max="10459" width="8.6328125" style="28"/>
    <col min="10460" max="10460" width="0.1796875" style="28" customWidth="1"/>
    <col min="10461" max="10461" width="10.6328125" style="28" customWidth="1"/>
    <col min="10462" max="10462" width="10.36328125" style="28" customWidth="1"/>
    <col min="10463" max="10463" width="19.6328125" style="28" customWidth="1"/>
    <col min="10464" max="10464" width="14.36328125" style="28" customWidth="1"/>
    <col min="10465" max="10465" width="13.6328125" style="28" customWidth="1"/>
    <col min="10466" max="10466" width="14.1796875" style="28" customWidth="1"/>
    <col min="10467" max="10467" width="14" style="28" customWidth="1"/>
    <col min="10468" max="10468" width="14.6328125" style="28" customWidth="1"/>
    <col min="10469" max="10469" width="19.36328125" style="28" customWidth="1"/>
    <col min="10470" max="10471" width="0" style="28" hidden="1" customWidth="1"/>
    <col min="10472" max="10472" width="10.1796875" style="28" customWidth="1"/>
    <col min="10473" max="10715" width="8.6328125" style="28"/>
    <col min="10716" max="10716" width="0.1796875" style="28" customWidth="1"/>
    <col min="10717" max="10717" width="10.6328125" style="28" customWidth="1"/>
    <col min="10718" max="10718" width="10.36328125" style="28" customWidth="1"/>
    <col min="10719" max="10719" width="19.6328125" style="28" customWidth="1"/>
    <col min="10720" max="10720" width="14.36328125" style="28" customWidth="1"/>
    <col min="10721" max="10721" width="13.6328125" style="28" customWidth="1"/>
    <col min="10722" max="10722" width="14.1796875" style="28" customWidth="1"/>
    <col min="10723" max="10723" width="14" style="28" customWidth="1"/>
    <col min="10724" max="10724" width="14.6328125" style="28" customWidth="1"/>
    <col min="10725" max="10725" width="19.36328125" style="28" customWidth="1"/>
    <col min="10726" max="10727" width="0" style="28" hidden="1" customWidth="1"/>
    <col min="10728" max="10728" width="10.1796875" style="28" customWidth="1"/>
    <col min="10729" max="10971" width="8.6328125" style="28"/>
    <col min="10972" max="10972" width="0.1796875" style="28" customWidth="1"/>
    <col min="10973" max="10973" width="10.6328125" style="28" customWidth="1"/>
    <col min="10974" max="10974" width="10.36328125" style="28" customWidth="1"/>
    <col min="10975" max="10975" width="19.6328125" style="28" customWidth="1"/>
    <col min="10976" max="10976" width="14.36328125" style="28" customWidth="1"/>
    <col min="10977" max="10977" width="13.6328125" style="28" customWidth="1"/>
    <col min="10978" max="10978" width="14.1796875" style="28" customWidth="1"/>
    <col min="10979" max="10979" width="14" style="28" customWidth="1"/>
    <col min="10980" max="10980" width="14.6328125" style="28" customWidth="1"/>
    <col min="10981" max="10981" width="19.36328125" style="28" customWidth="1"/>
    <col min="10982" max="10983" width="0" style="28" hidden="1" customWidth="1"/>
    <col min="10984" max="10984" width="10.1796875" style="28" customWidth="1"/>
    <col min="10985" max="11227" width="8.6328125" style="28"/>
    <col min="11228" max="11228" width="0.1796875" style="28" customWidth="1"/>
    <col min="11229" max="11229" width="10.6328125" style="28" customWidth="1"/>
    <col min="11230" max="11230" width="10.36328125" style="28" customWidth="1"/>
    <col min="11231" max="11231" width="19.6328125" style="28" customWidth="1"/>
    <col min="11232" max="11232" width="14.36328125" style="28" customWidth="1"/>
    <col min="11233" max="11233" width="13.6328125" style="28" customWidth="1"/>
    <col min="11234" max="11234" width="14.1796875" style="28" customWidth="1"/>
    <col min="11235" max="11235" width="14" style="28" customWidth="1"/>
    <col min="11236" max="11236" width="14.6328125" style="28" customWidth="1"/>
    <col min="11237" max="11237" width="19.36328125" style="28" customWidth="1"/>
    <col min="11238" max="11239" width="0" style="28" hidden="1" customWidth="1"/>
    <col min="11240" max="11240" width="10.1796875" style="28" customWidth="1"/>
    <col min="11241" max="11483" width="8.6328125" style="28"/>
    <col min="11484" max="11484" width="0.1796875" style="28" customWidth="1"/>
    <col min="11485" max="11485" width="10.6328125" style="28" customWidth="1"/>
    <col min="11486" max="11486" width="10.36328125" style="28" customWidth="1"/>
    <col min="11487" max="11487" width="19.6328125" style="28" customWidth="1"/>
    <col min="11488" max="11488" width="14.36328125" style="28" customWidth="1"/>
    <col min="11489" max="11489" width="13.6328125" style="28" customWidth="1"/>
    <col min="11490" max="11490" width="14.1796875" style="28" customWidth="1"/>
    <col min="11491" max="11491" width="14" style="28" customWidth="1"/>
    <col min="11492" max="11492" width="14.6328125" style="28" customWidth="1"/>
    <col min="11493" max="11493" width="19.36328125" style="28" customWidth="1"/>
    <col min="11494" max="11495" width="0" style="28" hidden="1" customWidth="1"/>
    <col min="11496" max="11496" width="10.1796875" style="28" customWidth="1"/>
    <col min="11497" max="11739" width="8.6328125" style="28"/>
    <col min="11740" max="11740" width="0.1796875" style="28" customWidth="1"/>
    <col min="11741" max="11741" width="10.6328125" style="28" customWidth="1"/>
    <col min="11742" max="11742" width="10.36328125" style="28" customWidth="1"/>
    <col min="11743" max="11743" width="19.6328125" style="28" customWidth="1"/>
    <col min="11744" max="11744" width="14.36328125" style="28" customWidth="1"/>
    <col min="11745" max="11745" width="13.6328125" style="28" customWidth="1"/>
    <col min="11746" max="11746" width="14.1796875" style="28" customWidth="1"/>
    <col min="11747" max="11747" width="14" style="28" customWidth="1"/>
    <col min="11748" max="11748" width="14.6328125" style="28" customWidth="1"/>
    <col min="11749" max="11749" width="19.36328125" style="28" customWidth="1"/>
    <col min="11750" max="11751" width="0" style="28" hidden="1" customWidth="1"/>
    <col min="11752" max="11752" width="10.1796875" style="28" customWidth="1"/>
    <col min="11753" max="11995" width="8.6328125" style="28"/>
    <col min="11996" max="11996" width="0.1796875" style="28" customWidth="1"/>
    <col min="11997" max="11997" width="10.6328125" style="28" customWidth="1"/>
    <col min="11998" max="11998" width="10.36328125" style="28" customWidth="1"/>
    <col min="11999" max="11999" width="19.6328125" style="28" customWidth="1"/>
    <col min="12000" max="12000" width="14.36328125" style="28" customWidth="1"/>
    <col min="12001" max="12001" width="13.6328125" style="28" customWidth="1"/>
    <col min="12002" max="12002" width="14.1796875" style="28" customWidth="1"/>
    <col min="12003" max="12003" width="14" style="28" customWidth="1"/>
    <col min="12004" max="12004" width="14.6328125" style="28" customWidth="1"/>
    <col min="12005" max="12005" width="19.36328125" style="28" customWidth="1"/>
    <col min="12006" max="12007" width="0" style="28" hidden="1" customWidth="1"/>
    <col min="12008" max="12008" width="10.1796875" style="28" customWidth="1"/>
    <col min="12009" max="12251" width="8.6328125" style="28"/>
    <col min="12252" max="12252" width="0.1796875" style="28" customWidth="1"/>
    <col min="12253" max="12253" width="10.6328125" style="28" customWidth="1"/>
    <col min="12254" max="12254" width="10.36328125" style="28" customWidth="1"/>
    <col min="12255" max="12255" width="19.6328125" style="28" customWidth="1"/>
    <col min="12256" max="12256" width="14.36328125" style="28" customWidth="1"/>
    <col min="12257" max="12257" width="13.6328125" style="28" customWidth="1"/>
    <col min="12258" max="12258" width="14.1796875" style="28" customWidth="1"/>
    <col min="12259" max="12259" width="14" style="28" customWidth="1"/>
    <col min="12260" max="12260" width="14.6328125" style="28" customWidth="1"/>
    <col min="12261" max="12261" width="19.36328125" style="28" customWidth="1"/>
    <col min="12262" max="12263" width="0" style="28" hidden="1" customWidth="1"/>
    <col min="12264" max="12264" width="10.1796875" style="28" customWidth="1"/>
    <col min="12265" max="12507" width="8.6328125" style="28"/>
    <col min="12508" max="12508" width="0.1796875" style="28" customWidth="1"/>
    <col min="12509" max="12509" width="10.6328125" style="28" customWidth="1"/>
    <col min="12510" max="12510" width="10.36328125" style="28" customWidth="1"/>
    <col min="12511" max="12511" width="19.6328125" style="28" customWidth="1"/>
    <col min="12512" max="12512" width="14.36328125" style="28" customWidth="1"/>
    <col min="12513" max="12513" width="13.6328125" style="28" customWidth="1"/>
    <col min="12514" max="12514" width="14.1796875" style="28" customWidth="1"/>
    <col min="12515" max="12515" width="14" style="28" customWidth="1"/>
    <col min="12516" max="12516" width="14.6328125" style="28" customWidth="1"/>
    <col min="12517" max="12517" width="19.36328125" style="28" customWidth="1"/>
    <col min="12518" max="12519" width="0" style="28" hidden="1" customWidth="1"/>
    <col min="12520" max="12520" width="10.1796875" style="28" customWidth="1"/>
    <col min="12521" max="12763" width="8.6328125" style="28"/>
    <col min="12764" max="12764" width="0.1796875" style="28" customWidth="1"/>
    <col min="12765" max="12765" width="10.6328125" style="28" customWidth="1"/>
    <col min="12766" max="12766" width="10.36328125" style="28" customWidth="1"/>
    <col min="12767" max="12767" width="19.6328125" style="28" customWidth="1"/>
    <col min="12768" max="12768" width="14.36328125" style="28" customWidth="1"/>
    <col min="12769" max="12769" width="13.6328125" style="28" customWidth="1"/>
    <col min="12770" max="12770" width="14.1796875" style="28" customWidth="1"/>
    <col min="12771" max="12771" width="14" style="28" customWidth="1"/>
    <col min="12772" max="12772" width="14.6328125" style="28" customWidth="1"/>
    <col min="12773" max="12773" width="19.36328125" style="28" customWidth="1"/>
    <col min="12774" max="12775" width="0" style="28" hidden="1" customWidth="1"/>
    <col min="12776" max="12776" width="10.1796875" style="28" customWidth="1"/>
    <col min="12777" max="13019" width="8.6328125" style="28"/>
    <col min="13020" max="13020" width="0.1796875" style="28" customWidth="1"/>
    <col min="13021" max="13021" width="10.6328125" style="28" customWidth="1"/>
    <col min="13022" max="13022" width="10.36328125" style="28" customWidth="1"/>
    <col min="13023" max="13023" width="19.6328125" style="28" customWidth="1"/>
    <col min="13024" max="13024" width="14.36328125" style="28" customWidth="1"/>
    <col min="13025" max="13025" width="13.6328125" style="28" customWidth="1"/>
    <col min="13026" max="13026" width="14.1796875" style="28" customWidth="1"/>
    <col min="13027" max="13027" width="14" style="28" customWidth="1"/>
    <col min="13028" max="13028" width="14.6328125" style="28" customWidth="1"/>
    <col min="13029" max="13029" width="19.36328125" style="28" customWidth="1"/>
    <col min="13030" max="13031" width="0" style="28" hidden="1" customWidth="1"/>
    <col min="13032" max="13032" width="10.1796875" style="28" customWidth="1"/>
    <col min="13033" max="13275" width="8.6328125" style="28"/>
    <col min="13276" max="13276" width="0.1796875" style="28" customWidth="1"/>
    <col min="13277" max="13277" width="10.6328125" style="28" customWidth="1"/>
    <col min="13278" max="13278" width="10.36328125" style="28" customWidth="1"/>
    <col min="13279" max="13279" width="19.6328125" style="28" customWidth="1"/>
    <col min="13280" max="13280" width="14.36328125" style="28" customWidth="1"/>
    <col min="13281" max="13281" width="13.6328125" style="28" customWidth="1"/>
    <col min="13282" max="13282" width="14.1796875" style="28" customWidth="1"/>
    <col min="13283" max="13283" width="14" style="28" customWidth="1"/>
    <col min="13284" max="13284" width="14.6328125" style="28" customWidth="1"/>
    <col min="13285" max="13285" width="19.36328125" style="28" customWidth="1"/>
    <col min="13286" max="13287" width="0" style="28" hidden="1" customWidth="1"/>
    <col min="13288" max="13288" width="10.1796875" style="28" customWidth="1"/>
    <col min="13289" max="13531" width="8.6328125" style="28"/>
    <col min="13532" max="13532" width="0.1796875" style="28" customWidth="1"/>
    <col min="13533" max="13533" width="10.6328125" style="28" customWidth="1"/>
    <col min="13534" max="13534" width="10.36328125" style="28" customWidth="1"/>
    <col min="13535" max="13535" width="19.6328125" style="28" customWidth="1"/>
    <col min="13536" max="13536" width="14.36328125" style="28" customWidth="1"/>
    <col min="13537" max="13537" width="13.6328125" style="28" customWidth="1"/>
    <col min="13538" max="13538" width="14.1796875" style="28" customWidth="1"/>
    <col min="13539" max="13539" width="14" style="28" customWidth="1"/>
    <col min="13540" max="13540" width="14.6328125" style="28" customWidth="1"/>
    <col min="13541" max="13541" width="19.36328125" style="28" customWidth="1"/>
    <col min="13542" max="13543" width="0" style="28" hidden="1" customWidth="1"/>
    <col min="13544" max="13544" width="10.1796875" style="28" customWidth="1"/>
    <col min="13545" max="13787" width="8.6328125" style="28"/>
    <col min="13788" max="13788" width="0.1796875" style="28" customWidth="1"/>
    <col min="13789" max="13789" width="10.6328125" style="28" customWidth="1"/>
    <col min="13790" max="13790" width="10.36328125" style="28" customWidth="1"/>
    <col min="13791" max="13791" width="19.6328125" style="28" customWidth="1"/>
    <col min="13792" max="13792" width="14.36328125" style="28" customWidth="1"/>
    <col min="13793" max="13793" width="13.6328125" style="28" customWidth="1"/>
    <col min="13794" max="13794" width="14.1796875" style="28" customWidth="1"/>
    <col min="13795" max="13795" width="14" style="28" customWidth="1"/>
    <col min="13796" max="13796" width="14.6328125" style="28" customWidth="1"/>
    <col min="13797" max="13797" width="19.36328125" style="28" customWidth="1"/>
    <col min="13798" max="13799" width="0" style="28" hidden="1" customWidth="1"/>
    <col min="13800" max="13800" width="10.1796875" style="28" customWidth="1"/>
    <col min="13801" max="14043" width="8.6328125" style="28"/>
    <col min="14044" max="14044" width="0.1796875" style="28" customWidth="1"/>
    <col min="14045" max="14045" width="10.6328125" style="28" customWidth="1"/>
    <col min="14046" max="14046" width="10.36328125" style="28" customWidth="1"/>
    <col min="14047" max="14047" width="19.6328125" style="28" customWidth="1"/>
    <col min="14048" max="14048" width="14.36328125" style="28" customWidth="1"/>
    <col min="14049" max="14049" width="13.6328125" style="28" customWidth="1"/>
    <col min="14050" max="14050" width="14.1796875" style="28" customWidth="1"/>
    <col min="14051" max="14051" width="14" style="28" customWidth="1"/>
    <col min="14052" max="14052" width="14.6328125" style="28" customWidth="1"/>
    <col min="14053" max="14053" width="19.36328125" style="28" customWidth="1"/>
    <col min="14054" max="14055" width="0" style="28" hidden="1" customWidth="1"/>
    <col min="14056" max="14056" width="10.1796875" style="28" customWidth="1"/>
    <col min="14057" max="14299" width="8.6328125" style="28"/>
    <col min="14300" max="14300" width="0.1796875" style="28" customWidth="1"/>
    <col min="14301" max="14301" width="10.6328125" style="28" customWidth="1"/>
    <col min="14302" max="14302" width="10.36328125" style="28" customWidth="1"/>
    <col min="14303" max="14303" width="19.6328125" style="28" customWidth="1"/>
    <col min="14304" max="14304" width="14.36328125" style="28" customWidth="1"/>
    <col min="14305" max="14305" width="13.6328125" style="28" customWidth="1"/>
    <col min="14306" max="14306" width="14.1796875" style="28" customWidth="1"/>
    <col min="14307" max="14307" width="14" style="28" customWidth="1"/>
    <col min="14308" max="14308" width="14.6328125" style="28" customWidth="1"/>
    <col min="14309" max="14309" width="19.36328125" style="28" customWidth="1"/>
    <col min="14310" max="14311" width="0" style="28" hidden="1" customWidth="1"/>
    <col min="14312" max="14312" width="10.1796875" style="28" customWidth="1"/>
    <col min="14313" max="14555" width="8.6328125" style="28"/>
    <col min="14556" max="14556" width="0.1796875" style="28" customWidth="1"/>
    <col min="14557" max="14557" width="10.6328125" style="28" customWidth="1"/>
    <col min="14558" max="14558" width="10.36328125" style="28" customWidth="1"/>
    <col min="14559" max="14559" width="19.6328125" style="28" customWidth="1"/>
    <col min="14560" max="14560" width="14.36328125" style="28" customWidth="1"/>
    <col min="14561" max="14561" width="13.6328125" style="28" customWidth="1"/>
    <col min="14562" max="14562" width="14.1796875" style="28" customWidth="1"/>
    <col min="14563" max="14563" width="14" style="28" customWidth="1"/>
    <col min="14564" max="14564" width="14.6328125" style="28" customWidth="1"/>
    <col min="14565" max="14565" width="19.36328125" style="28" customWidth="1"/>
    <col min="14566" max="14567" width="0" style="28" hidden="1" customWidth="1"/>
    <col min="14568" max="14568" width="10.1796875" style="28" customWidth="1"/>
    <col min="14569" max="14811" width="8.6328125" style="28"/>
    <col min="14812" max="14812" width="0.1796875" style="28" customWidth="1"/>
    <col min="14813" max="14813" width="10.6328125" style="28" customWidth="1"/>
    <col min="14814" max="14814" width="10.36328125" style="28" customWidth="1"/>
    <col min="14815" max="14815" width="19.6328125" style="28" customWidth="1"/>
    <col min="14816" max="14816" width="14.36328125" style="28" customWidth="1"/>
    <col min="14817" max="14817" width="13.6328125" style="28" customWidth="1"/>
    <col min="14818" max="14818" width="14.1796875" style="28" customWidth="1"/>
    <col min="14819" max="14819" width="14" style="28" customWidth="1"/>
    <col min="14820" max="14820" width="14.6328125" style="28" customWidth="1"/>
    <col min="14821" max="14821" width="19.36328125" style="28" customWidth="1"/>
    <col min="14822" max="14823" width="0" style="28" hidden="1" customWidth="1"/>
    <col min="14824" max="14824" width="10.1796875" style="28" customWidth="1"/>
    <col min="14825" max="15067" width="8.6328125" style="28"/>
    <col min="15068" max="15068" width="0.1796875" style="28" customWidth="1"/>
    <col min="15069" max="15069" width="10.6328125" style="28" customWidth="1"/>
    <col min="15070" max="15070" width="10.36328125" style="28" customWidth="1"/>
    <col min="15071" max="15071" width="19.6328125" style="28" customWidth="1"/>
    <col min="15072" max="15072" width="14.36328125" style="28" customWidth="1"/>
    <col min="15073" max="15073" width="13.6328125" style="28" customWidth="1"/>
    <col min="15074" max="15074" width="14.1796875" style="28" customWidth="1"/>
    <col min="15075" max="15075" width="14" style="28" customWidth="1"/>
    <col min="15076" max="15076" width="14.6328125" style="28" customWidth="1"/>
    <col min="15077" max="15077" width="19.36328125" style="28" customWidth="1"/>
    <col min="15078" max="15079" width="0" style="28" hidden="1" customWidth="1"/>
    <col min="15080" max="15080" width="10.1796875" style="28" customWidth="1"/>
    <col min="15081" max="15323" width="8.6328125" style="28"/>
    <col min="15324" max="15324" width="0.1796875" style="28" customWidth="1"/>
    <col min="15325" max="15325" width="10.6328125" style="28" customWidth="1"/>
    <col min="15326" max="15326" width="10.36328125" style="28" customWidth="1"/>
    <col min="15327" max="15327" width="19.6328125" style="28" customWidth="1"/>
    <col min="15328" max="15328" width="14.36328125" style="28" customWidth="1"/>
    <col min="15329" max="15329" width="13.6328125" style="28" customWidth="1"/>
    <col min="15330" max="15330" width="14.1796875" style="28" customWidth="1"/>
    <col min="15331" max="15331" width="14" style="28" customWidth="1"/>
    <col min="15332" max="15332" width="14.6328125" style="28" customWidth="1"/>
    <col min="15333" max="15333" width="19.36328125" style="28" customWidth="1"/>
    <col min="15334" max="15335" width="0" style="28" hidden="1" customWidth="1"/>
    <col min="15336" max="15336" width="10.1796875" style="28" customWidth="1"/>
    <col min="15337" max="15579" width="8.6328125" style="28"/>
    <col min="15580" max="15580" width="0.1796875" style="28" customWidth="1"/>
    <col min="15581" max="15581" width="10.6328125" style="28" customWidth="1"/>
    <col min="15582" max="15582" width="10.36328125" style="28" customWidth="1"/>
    <col min="15583" max="15583" width="19.6328125" style="28" customWidth="1"/>
    <col min="15584" max="15584" width="14.36328125" style="28" customWidth="1"/>
    <col min="15585" max="15585" width="13.6328125" style="28" customWidth="1"/>
    <col min="15586" max="15586" width="14.1796875" style="28" customWidth="1"/>
    <col min="15587" max="15587" width="14" style="28" customWidth="1"/>
    <col min="15588" max="15588" width="14.6328125" style="28" customWidth="1"/>
    <col min="15589" max="15589" width="19.36328125" style="28" customWidth="1"/>
    <col min="15590" max="15591" width="0" style="28" hidden="1" customWidth="1"/>
    <col min="15592" max="15592" width="10.1796875" style="28" customWidth="1"/>
    <col min="15593" max="15835" width="8.6328125" style="28"/>
    <col min="15836" max="15836" width="0.1796875" style="28" customWidth="1"/>
    <col min="15837" max="15837" width="10.6328125" style="28" customWidth="1"/>
    <col min="15838" max="15838" width="10.36328125" style="28" customWidth="1"/>
    <col min="15839" max="15839" width="19.6328125" style="28" customWidth="1"/>
    <col min="15840" max="15840" width="14.36328125" style="28" customWidth="1"/>
    <col min="15841" max="15841" width="13.6328125" style="28" customWidth="1"/>
    <col min="15842" max="15842" width="14.1796875" style="28" customWidth="1"/>
    <col min="15843" max="15843" width="14" style="28" customWidth="1"/>
    <col min="15844" max="15844" width="14.6328125" style="28" customWidth="1"/>
    <col min="15845" max="15845" width="19.36328125" style="28" customWidth="1"/>
    <col min="15846" max="15847" width="0" style="28" hidden="1" customWidth="1"/>
    <col min="15848" max="15848" width="10.1796875" style="28" customWidth="1"/>
    <col min="15849" max="16091" width="8.6328125" style="28"/>
    <col min="16092" max="16092" width="0.1796875" style="28" customWidth="1"/>
    <col min="16093" max="16093" width="10.6328125" style="28" customWidth="1"/>
    <col min="16094" max="16094" width="10.36328125" style="28" customWidth="1"/>
    <col min="16095" max="16095" width="19.6328125" style="28" customWidth="1"/>
    <col min="16096" max="16096" width="14.36328125" style="28" customWidth="1"/>
    <col min="16097" max="16097" width="13.6328125" style="28" customWidth="1"/>
    <col min="16098" max="16098" width="14.1796875" style="28" customWidth="1"/>
    <col min="16099" max="16099" width="14" style="28" customWidth="1"/>
    <col min="16100" max="16100" width="14.6328125" style="28" customWidth="1"/>
    <col min="16101" max="16101" width="19.36328125" style="28" customWidth="1"/>
    <col min="16102" max="16103" width="0" style="28" hidden="1" customWidth="1"/>
    <col min="16104" max="16104" width="10.1796875" style="28" customWidth="1"/>
    <col min="16105" max="16384" width="8.6328125" style="28"/>
  </cols>
  <sheetData>
    <row r="1" spans="1:37" ht="59.75" customHeight="1" x14ac:dyDescent="0.4">
      <c r="J1" s="24" t="s">
        <v>20</v>
      </c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6"/>
      <c r="X1" s="27"/>
      <c r="Y1" s="28"/>
      <c r="Z1" s="25"/>
      <c r="AA1" s="26"/>
      <c r="AB1" s="27"/>
      <c r="AC1" s="28"/>
      <c r="AD1" s="28"/>
      <c r="AE1" s="28"/>
      <c r="AF1" s="28"/>
      <c r="AG1" s="28"/>
      <c r="AI1" s="28"/>
      <c r="AJ1" s="28"/>
      <c r="AK1" s="28"/>
    </row>
    <row r="2" spans="1:37" ht="35.25" customHeight="1" x14ac:dyDescent="0.4">
      <c r="J2" s="29" t="s">
        <v>21</v>
      </c>
      <c r="K2" s="29"/>
      <c r="L2" s="29"/>
      <c r="M2" s="29"/>
      <c r="N2" s="29"/>
      <c r="O2" s="29"/>
      <c r="P2" s="29"/>
      <c r="Q2" s="29"/>
      <c r="R2" s="29"/>
      <c r="S2" s="30"/>
      <c r="T2" s="30"/>
      <c r="U2" s="30"/>
      <c r="V2" s="30"/>
      <c r="W2" s="31"/>
      <c r="X2" s="661"/>
      <c r="Y2" s="28"/>
      <c r="Z2" s="30"/>
      <c r="AA2" s="31"/>
      <c r="AB2" s="661"/>
      <c r="AC2" s="28"/>
      <c r="AD2" s="28"/>
      <c r="AE2" s="28"/>
      <c r="AF2" s="28"/>
      <c r="AG2" s="28"/>
      <c r="AI2" s="28"/>
      <c r="AJ2" s="28"/>
      <c r="AK2" s="28"/>
    </row>
    <row r="3" spans="1:37" ht="23.75" customHeight="1" x14ac:dyDescent="0.65">
      <c r="B3" s="502" t="s">
        <v>581</v>
      </c>
      <c r="K3" s="32"/>
      <c r="L3" s="32"/>
      <c r="M3" s="32"/>
      <c r="N3" s="33"/>
      <c r="O3" s="178" t="s">
        <v>615</v>
      </c>
      <c r="P3" s="34"/>
      <c r="Q3" s="502" t="s">
        <v>587</v>
      </c>
      <c r="R3" s="502"/>
      <c r="U3" s="502" t="s">
        <v>582</v>
      </c>
      <c r="W3" s="35"/>
      <c r="X3" s="661"/>
      <c r="Y3" s="28"/>
      <c r="AA3" s="35"/>
      <c r="AB3" s="661"/>
      <c r="AC3" s="28"/>
      <c r="AD3" s="28"/>
      <c r="AE3" s="28"/>
      <c r="AF3" s="28"/>
      <c r="AG3" s="28"/>
      <c r="AI3" s="28"/>
      <c r="AJ3" s="28"/>
      <c r="AK3" s="28"/>
    </row>
    <row r="4" spans="1:37" ht="36.75" customHeight="1" x14ac:dyDescent="0.4">
      <c r="B4" s="672" t="s">
        <v>6</v>
      </c>
      <c r="C4" s="676" t="s">
        <v>150</v>
      </c>
      <c r="D4" s="36" t="s">
        <v>16</v>
      </c>
      <c r="E4" s="116" t="s">
        <v>174</v>
      </c>
      <c r="F4" s="674" t="s">
        <v>157</v>
      </c>
      <c r="G4" s="675"/>
      <c r="H4" s="37"/>
      <c r="I4" s="672" t="s">
        <v>19</v>
      </c>
      <c r="J4" s="672"/>
      <c r="K4" s="673"/>
      <c r="L4" s="673"/>
      <c r="M4" s="673"/>
      <c r="N4" s="672"/>
      <c r="O4" s="672"/>
      <c r="P4" s="487"/>
      <c r="Q4" s="554" t="s">
        <v>579</v>
      </c>
      <c r="R4" s="38"/>
      <c r="S4" s="39"/>
      <c r="T4" s="39"/>
      <c r="U4" s="672" t="s">
        <v>6</v>
      </c>
      <c r="V4" s="562" t="s">
        <v>155</v>
      </c>
      <c r="W4" s="662" t="s">
        <v>158</v>
      </c>
      <c r="X4" s="662"/>
      <c r="Y4" s="658" t="s">
        <v>156</v>
      </c>
      <c r="Z4" s="659"/>
      <c r="AA4" s="659"/>
      <c r="AB4" s="660"/>
      <c r="AC4" s="28"/>
      <c r="AD4" s="28"/>
      <c r="AE4" s="28"/>
      <c r="AF4" s="28"/>
      <c r="AG4" s="28"/>
      <c r="AI4" s="28"/>
      <c r="AJ4" s="28"/>
      <c r="AK4" s="28"/>
    </row>
    <row r="5" spans="1:37" ht="24.75" customHeight="1" x14ac:dyDescent="0.4">
      <c r="B5" s="672"/>
      <c r="C5" s="677"/>
      <c r="D5" s="41" t="s">
        <v>159</v>
      </c>
      <c r="E5" s="41" t="s">
        <v>159</v>
      </c>
      <c r="F5" s="42" t="s">
        <v>159</v>
      </c>
      <c r="G5" s="42" t="s">
        <v>24</v>
      </c>
      <c r="H5" s="37"/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3" t="s">
        <v>12</v>
      </c>
      <c r="O5" s="44" t="s">
        <v>13</v>
      </c>
      <c r="P5" s="488"/>
      <c r="Q5" s="556"/>
      <c r="R5" s="45"/>
      <c r="S5" s="39"/>
      <c r="T5" s="39"/>
      <c r="U5" s="672"/>
      <c r="V5" s="40" t="s">
        <v>159</v>
      </c>
      <c r="W5" s="40" t="s">
        <v>159</v>
      </c>
      <c r="X5" s="46" t="s">
        <v>24</v>
      </c>
      <c r="Y5" s="43">
        <v>1</v>
      </c>
      <c r="Z5" s="43">
        <v>2</v>
      </c>
      <c r="AA5" s="43">
        <v>3</v>
      </c>
      <c r="AB5" s="43">
        <v>4</v>
      </c>
      <c r="AC5" s="28"/>
      <c r="AD5" s="28"/>
      <c r="AE5" s="28"/>
      <c r="AF5" s="28"/>
      <c r="AG5" s="28"/>
      <c r="AI5" s="28"/>
      <c r="AJ5" s="28"/>
      <c r="AK5" s="28"/>
    </row>
    <row r="6" spans="1:37" ht="7.5" customHeight="1" x14ac:dyDescent="0.4">
      <c r="B6" s="47"/>
      <c r="C6" s="48"/>
      <c r="D6" s="48"/>
      <c r="E6" s="48"/>
      <c r="F6" s="49"/>
      <c r="G6" s="49"/>
      <c r="H6" s="50"/>
      <c r="I6" s="47"/>
      <c r="J6" s="47"/>
      <c r="K6" s="47"/>
      <c r="L6" s="47"/>
      <c r="M6" s="47"/>
      <c r="N6" s="47"/>
      <c r="O6" s="47"/>
      <c r="P6" s="488"/>
      <c r="Q6" s="556"/>
      <c r="R6" s="45"/>
      <c r="U6" s="47"/>
      <c r="W6" s="35"/>
      <c r="X6" s="32"/>
      <c r="Y6" s="28"/>
      <c r="AA6" s="35"/>
      <c r="AB6" s="32"/>
      <c r="AC6" s="28"/>
      <c r="AD6" s="28"/>
      <c r="AE6" s="28"/>
      <c r="AF6" s="28"/>
      <c r="AG6" s="28"/>
      <c r="AI6" s="28"/>
      <c r="AJ6" s="28"/>
      <c r="AK6" s="28"/>
    </row>
    <row r="7" spans="1:37" ht="21" customHeight="1" x14ac:dyDescent="0.4">
      <c r="B7" s="681" t="s">
        <v>175</v>
      </c>
      <c r="C7" s="647">
        <f>BOMA!I574</f>
        <v>292.81</v>
      </c>
      <c r="D7" s="631">
        <f>SUM(I8:O8)</f>
        <v>292.81</v>
      </c>
      <c r="E7" s="629">
        <f>ROUND(C7-D7,1)</f>
        <v>0</v>
      </c>
      <c r="F7" s="640">
        <f ca="1">SumByColor(I8:O8,Legend!$C$2)</f>
        <v>0</v>
      </c>
      <c r="G7" s="625">
        <f ca="1">(F7/D7)*100%</f>
        <v>0</v>
      </c>
      <c r="H7" s="51"/>
      <c r="I7" s="643" t="s">
        <v>33</v>
      </c>
      <c r="J7" s="633"/>
      <c r="K7" s="633"/>
      <c r="L7" s="633"/>
      <c r="M7" s="633"/>
      <c r="N7" s="633"/>
      <c r="O7" s="634"/>
      <c r="P7" s="487"/>
      <c r="Q7" s="554"/>
      <c r="R7" s="38"/>
      <c r="S7" s="52"/>
      <c r="T7" s="52"/>
      <c r="U7" s="681" t="s">
        <v>175</v>
      </c>
      <c r="V7" s="642">
        <f t="shared" ref="V7:V11" si="0">SUM(Y8:AB8)</f>
        <v>0</v>
      </c>
      <c r="W7" s="640">
        <f ca="1">SumByColor(Y8:AB8,Legend!$C$2)</f>
        <v>0</v>
      </c>
      <c r="X7" s="625">
        <f>IF(V7&lt;&gt;0,(W7/V7)*100%,0)</f>
        <v>0</v>
      </c>
      <c r="Y7" s="28"/>
      <c r="AA7" s="35"/>
      <c r="AB7" s="32"/>
      <c r="AC7" s="28"/>
      <c r="AD7" s="28"/>
      <c r="AE7" s="28"/>
      <c r="AF7" s="28"/>
      <c r="AG7" s="28"/>
      <c r="AI7" s="28"/>
      <c r="AJ7" s="28"/>
      <c r="AK7" s="28"/>
    </row>
    <row r="8" spans="1:37" s="17" customFormat="1" ht="21" customHeight="1" x14ac:dyDescent="0.4">
      <c r="B8" s="681"/>
      <c r="C8" s="648"/>
      <c r="D8" s="632"/>
      <c r="E8" s="630"/>
      <c r="F8" s="641"/>
      <c r="G8" s="625"/>
      <c r="H8" s="51"/>
      <c r="I8" s="644">
        <v>292.81</v>
      </c>
      <c r="J8" s="645"/>
      <c r="K8" s="645"/>
      <c r="L8" s="645"/>
      <c r="M8" s="645"/>
      <c r="N8" s="645"/>
      <c r="O8" s="646"/>
      <c r="P8" s="474"/>
      <c r="Q8" s="549"/>
      <c r="R8" s="434"/>
      <c r="S8" s="52"/>
      <c r="T8" s="52"/>
      <c r="U8" s="681"/>
      <c r="V8" s="642"/>
      <c r="W8" s="641"/>
      <c r="X8" s="625"/>
    </row>
    <row r="9" spans="1:37" ht="21" customHeight="1" x14ac:dyDescent="0.4">
      <c r="B9" s="681" t="s">
        <v>32</v>
      </c>
      <c r="C9" s="647">
        <f>BOMA!I569</f>
        <v>380.22999999999996</v>
      </c>
      <c r="D9" s="631">
        <f>SUM(I10:O10)</f>
        <v>380.23</v>
      </c>
      <c r="E9" s="629">
        <f>ROUND(C9-D9,1)</f>
        <v>0</v>
      </c>
      <c r="F9" s="640">
        <f ca="1">SumByColor(I10:O10,Legend!$C$2)</f>
        <v>0</v>
      </c>
      <c r="G9" s="625">
        <f ca="1">(F9/D9)*100%</f>
        <v>0</v>
      </c>
      <c r="H9" s="51"/>
      <c r="I9" s="643" t="s">
        <v>33</v>
      </c>
      <c r="J9" s="633"/>
      <c r="K9" s="633"/>
      <c r="L9" s="633"/>
      <c r="M9" s="633"/>
      <c r="N9" s="633"/>
      <c r="O9" s="634"/>
      <c r="P9" s="487"/>
      <c r="Q9" s="554"/>
      <c r="R9" s="38"/>
      <c r="S9" s="52"/>
      <c r="T9" s="52"/>
      <c r="U9" s="681" t="s">
        <v>32</v>
      </c>
      <c r="V9" s="642">
        <f t="shared" si="0"/>
        <v>0</v>
      </c>
      <c r="W9" s="640">
        <f ca="1">SumByColor(Y10:AB10,Legend!$C$2)</f>
        <v>0</v>
      </c>
      <c r="X9" s="625">
        <f>IF(V9&lt;&gt;0,(W9/V9)*100%,0)</f>
        <v>0</v>
      </c>
      <c r="Y9" s="28"/>
      <c r="AA9" s="35"/>
      <c r="AB9" s="32"/>
      <c r="AC9" s="28"/>
      <c r="AD9" s="28"/>
      <c r="AE9" s="28"/>
      <c r="AF9" s="28"/>
      <c r="AG9" s="28"/>
      <c r="AI9" s="28"/>
      <c r="AJ9" s="28"/>
      <c r="AK9" s="28"/>
    </row>
    <row r="10" spans="1:37" s="17" customFormat="1" ht="21" customHeight="1" x14ac:dyDescent="0.4">
      <c r="B10" s="682"/>
      <c r="C10" s="648"/>
      <c r="D10" s="632"/>
      <c r="E10" s="630"/>
      <c r="F10" s="641"/>
      <c r="G10" s="625"/>
      <c r="H10" s="51"/>
      <c r="I10" s="644">
        <v>380.23</v>
      </c>
      <c r="J10" s="645"/>
      <c r="K10" s="645"/>
      <c r="L10" s="645"/>
      <c r="M10" s="645"/>
      <c r="N10" s="645"/>
      <c r="O10" s="646"/>
      <c r="P10" s="474"/>
      <c r="Q10" s="549"/>
      <c r="R10" s="434"/>
      <c r="S10" s="52"/>
      <c r="T10" s="52"/>
      <c r="U10" s="682"/>
      <c r="V10" s="642"/>
      <c r="W10" s="641"/>
      <c r="X10" s="625"/>
    </row>
    <row r="11" spans="1:37" s="17" customFormat="1" ht="21" customHeight="1" x14ac:dyDescent="0.4">
      <c r="B11" s="682" t="s">
        <v>31</v>
      </c>
      <c r="C11" s="120"/>
      <c r="D11" s="631">
        <f>SUM(I12:O12)</f>
        <v>510.41999999999996</v>
      </c>
      <c r="E11" s="119"/>
      <c r="F11" s="640">
        <f ca="1">SumByColor(I12:O12,Legend!$C$2)</f>
        <v>0</v>
      </c>
      <c r="G11" s="625">
        <f ca="1">(F11/D11)*100%</f>
        <v>0</v>
      </c>
      <c r="H11" s="51"/>
      <c r="I11" s="678" t="s">
        <v>33</v>
      </c>
      <c r="J11" s="679"/>
      <c r="K11" s="679"/>
      <c r="L11" s="679"/>
      <c r="M11" s="679"/>
      <c r="N11" s="679"/>
      <c r="O11" s="680"/>
      <c r="P11" s="474"/>
      <c r="Q11" s="549"/>
      <c r="R11" s="434"/>
      <c r="S11" s="52"/>
      <c r="T11" s="52"/>
      <c r="U11" s="682" t="s">
        <v>31</v>
      </c>
      <c r="V11" s="642">
        <f t="shared" si="0"/>
        <v>0</v>
      </c>
      <c r="W11" s="640">
        <f ca="1">SumByColor(Y12:AB12,Legend!$C$2)</f>
        <v>0</v>
      </c>
      <c r="X11" s="625">
        <f>IF(V11&lt;&gt;0,(W11/V11)*100%,0)</f>
        <v>0</v>
      </c>
    </row>
    <row r="12" spans="1:37" s="17" customFormat="1" ht="21" customHeight="1" x14ac:dyDescent="0.4">
      <c r="B12" s="683"/>
      <c r="C12" s="120">
        <v>510.42</v>
      </c>
      <c r="D12" s="632"/>
      <c r="E12" s="119"/>
      <c r="F12" s="641"/>
      <c r="G12" s="625"/>
      <c r="H12" s="51"/>
      <c r="I12" s="644">
        <f>BOMA!G564</f>
        <v>510.41999999999996</v>
      </c>
      <c r="J12" s="645"/>
      <c r="K12" s="645"/>
      <c r="L12" s="645"/>
      <c r="M12" s="645"/>
      <c r="N12" s="645"/>
      <c r="O12" s="646"/>
      <c r="P12" s="474"/>
      <c r="Q12" s="549"/>
      <c r="R12" s="434"/>
      <c r="S12" s="52"/>
      <c r="T12" s="52"/>
      <c r="U12" s="683"/>
      <c r="V12" s="642"/>
      <c r="W12" s="641"/>
      <c r="X12" s="625"/>
    </row>
    <row r="13" spans="1:37" ht="21" customHeight="1" x14ac:dyDescent="0.4">
      <c r="B13" s="683" t="s">
        <v>30</v>
      </c>
      <c r="C13" s="647"/>
      <c r="D13" s="631">
        <v>230.44</v>
      </c>
      <c r="E13" s="629">
        <f>ROUND(C13-D13,1)</f>
        <v>-230.4</v>
      </c>
      <c r="F13" s="640">
        <f ca="1">SumByColor(I14:O14,Legend!$C$2)</f>
        <v>0</v>
      </c>
      <c r="G13" s="625">
        <f ca="1">(F13/D13)*100%</f>
        <v>0</v>
      </c>
      <c r="H13" s="51"/>
      <c r="I13" s="643" t="s">
        <v>33</v>
      </c>
      <c r="J13" s="633"/>
      <c r="K13" s="633"/>
      <c r="L13" s="633"/>
      <c r="M13" s="633"/>
      <c r="N13" s="633"/>
      <c r="O13" s="634"/>
      <c r="P13" s="487"/>
      <c r="Q13" s="554"/>
      <c r="R13" s="38"/>
      <c r="S13" s="52"/>
      <c r="T13" s="52"/>
      <c r="U13" s="683" t="s">
        <v>30</v>
      </c>
      <c r="V13" s="642">
        <f t="shared" ref="V13" si="1">SUM(Y14:AB14)</f>
        <v>0</v>
      </c>
      <c r="W13" s="640">
        <f ca="1">SumByColor(Y14:AB14,Legend!$C$2)</f>
        <v>0</v>
      </c>
      <c r="X13" s="625">
        <f t="shared" ref="X13" si="2">IF(V13&lt;&gt;0,(W13/V13)*100%,0)</f>
        <v>0</v>
      </c>
      <c r="Y13" s="28"/>
      <c r="AA13" s="35"/>
      <c r="AB13" s="32"/>
      <c r="AC13" s="28"/>
      <c r="AD13" s="28"/>
      <c r="AE13" s="28"/>
      <c r="AF13" s="28"/>
      <c r="AG13" s="28"/>
      <c r="AI13" s="28"/>
      <c r="AJ13" s="28"/>
      <c r="AK13" s="28"/>
    </row>
    <row r="14" spans="1:37" s="17" customFormat="1" ht="21" customHeight="1" x14ac:dyDescent="0.4">
      <c r="B14" s="681"/>
      <c r="C14" s="648"/>
      <c r="D14" s="632"/>
      <c r="E14" s="630"/>
      <c r="F14" s="641"/>
      <c r="G14" s="625"/>
      <c r="H14" s="51"/>
      <c r="I14" s="657">
        <f>BOMA!G558</f>
        <v>230.43713962074173</v>
      </c>
      <c r="J14" s="687"/>
      <c r="K14" s="687"/>
      <c r="L14" s="687"/>
      <c r="M14" s="687"/>
      <c r="N14" s="687"/>
      <c r="O14" s="688"/>
      <c r="P14" s="474"/>
      <c r="Q14" s="549"/>
      <c r="R14" s="434"/>
      <c r="S14" s="52"/>
      <c r="T14" s="52"/>
      <c r="U14" s="681"/>
      <c r="V14" s="642"/>
      <c r="W14" s="641"/>
      <c r="X14" s="625"/>
    </row>
    <row r="15" spans="1:37" s="17" customFormat="1" ht="11" customHeight="1" x14ac:dyDescent="0.4">
      <c r="B15" s="54"/>
      <c r="C15" s="55"/>
      <c r="D15" s="56"/>
      <c r="E15" s="117"/>
      <c r="F15" s="57"/>
      <c r="G15" s="54"/>
      <c r="H15" s="54"/>
      <c r="I15" s="54"/>
      <c r="J15" s="54"/>
      <c r="K15" s="54"/>
      <c r="L15" s="54"/>
      <c r="M15" s="54"/>
      <c r="N15" s="54"/>
      <c r="O15" s="54"/>
      <c r="P15" s="489"/>
      <c r="Q15" s="553"/>
      <c r="R15" s="537"/>
      <c r="S15" s="52"/>
      <c r="T15" s="52"/>
      <c r="U15" s="54"/>
      <c r="V15" s="58"/>
      <c r="W15" s="59"/>
      <c r="X15" s="60"/>
    </row>
    <row r="16" spans="1:37" s="23" customFormat="1" ht="20.75" customHeight="1" x14ac:dyDescent="0.4">
      <c r="A16" s="61"/>
      <c r="B16" s="624">
        <v>55</v>
      </c>
      <c r="C16" s="647">
        <f>BOMA!I560</f>
        <v>1556.52</v>
      </c>
      <c r="D16" s="631">
        <f>SUM(I17)</f>
        <v>1326.0828603792584</v>
      </c>
      <c r="E16" s="629">
        <f>ROUND(C16-D16,1)</f>
        <v>230.4</v>
      </c>
      <c r="F16" s="640">
        <f ca="1">SumByColor(I17:O17,Legend!$C$2)</f>
        <v>0</v>
      </c>
      <c r="G16" s="625">
        <f t="shared" ref="G16:G46" ca="1" si="3">(F16/D16)*100%</f>
        <v>0</v>
      </c>
      <c r="H16" s="51"/>
      <c r="I16" s="643" t="s">
        <v>161</v>
      </c>
      <c r="J16" s="633"/>
      <c r="K16" s="633"/>
      <c r="L16" s="633"/>
      <c r="M16" s="633"/>
      <c r="N16" s="634"/>
      <c r="O16" s="479"/>
      <c r="P16" s="489"/>
      <c r="Q16" s="554"/>
      <c r="R16" s="38"/>
      <c r="S16" s="52"/>
      <c r="T16" s="52"/>
      <c r="U16" s="681">
        <v>55</v>
      </c>
      <c r="V16" s="642">
        <f t="shared" ref="V16" si="4">SUM(Y17:AB17)</f>
        <v>0</v>
      </c>
      <c r="W16" s="640">
        <f ca="1">SumByColor(Y17:AB17,Legend!$C$2)</f>
        <v>0</v>
      </c>
      <c r="X16" s="625">
        <f t="shared" ref="X16:X46" si="5">IF(V16&lt;&gt;0,(W16/V16)*100%,0)</f>
        <v>0</v>
      </c>
    </row>
    <row r="17" spans="1:24" s="61" customFormat="1" ht="20.75" customHeight="1" x14ac:dyDescent="0.4">
      <c r="B17" s="624"/>
      <c r="C17" s="648"/>
      <c r="D17" s="632"/>
      <c r="E17" s="630"/>
      <c r="F17" s="641"/>
      <c r="G17" s="625"/>
      <c r="H17" s="51"/>
      <c r="I17" s="657">
        <f>BOMA!G557</f>
        <v>1326.0828603792584</v>
      </c>
      <c r="J17" s="645"/>
      <c r="K17" s="645"/>
      <c r="L17" s="645"/>
      <c r="M17" s="645"/>
      <c r="N17" s="646"/>
      <c r="O17" s="480"/>
      <c r="P17" s="489"/>
      <c r="Q17" s="554"/>
      <c r="R17" s="38"/>
      <c r="S17" s="52"/>
      <c r="T17" s="52"/>
      <c r="U17" s="681"/>
      <c r="V17" s="642"/>
      <c r="W17" s="641"/>
      <c r="X17" s="625"/>
    </row>
    <row r="18" spans="1:24" s="23" customFormat="1" ht="20.75" customHeight="1" x14ac:dyDescent="0.4">
      <c r="A18" s="61"/>
      <c r="B18" s="624">
        <v>53</v>
      </c>
      <c r="C18" s="647">
        <f>BOMA!I554</f>
        <v>1625.8306570301963</v>
      </c>
      <c r="D18" s="631">
        <f>SUM(I19)</f>
        <v>1625.8200000000002</v>
      </c>
      <c r="E18" s="629">
        <f>ROUND(C18-D18,1)</f>
        <v>0</v>
      </c>
      <c r="F18" s="640">
        <f ca="1">SumByColor(I19:O19,Legend!$C$2)</f>
        <v>0</v>
      </c>
      <c r="G18" s="625">
        <f t="shared" ca="1" si="3"/>
        <v>0</v>
      </c>
      <c r="H18" s="51"/>
      <c r="I18" s="643" t="s">
        <v>161</v>
      </c>
      <c r="J18" s="633"/>
      <c r="K18" s="633"/>
      <c r="L18" s="633"/>
      <c r="M18" s="633"/>
      <c r="N18" s="634"/>
      <c r="O18" s="479"/>
      <c r="P18" s="489"/>
      <c r="Q18" s="543"/>
      <c r="R18" s="38"/>
      <c r="S18" s="52"/>
      <c r="T18" s="52"/>
      <c r="U18" s="681">
        <v>53</v>
      </c>
      <c r="V18" s="642">
        <f t="shared" ref="V18" si="6">SUM(Y19:AB19)</f>
        <v>0</v>
      </c>
      <c r="W18" s="640">
        <f ca="1">SumByColor(Y19:AB19,Legend!$C$2)</f>
        <v>0</v>
      </c>
      <c r="X18" s="625">
        <f t="shared" si="5"/>
        <v>0</v>
      </c>
    </row>
    <row r="19" spans="1:24" s="61" customFormat="1" ht="20.75" customHeight="1" x14ac:dyDescent="0.4">
      <c r="B19" s="624"/>
      <c r="C19" s="648"/>
      <c r="D19" s="632"/>
      <c r="E19" s="630"/>
      <c r="F19" s="641"/>
      <c r="G19" s="625"/>
      <c r="H19" s="51"/>
      <c r="I19" s="644">
        <f>1625.42+0.4</f>
        <v>1625.8200000000002</v>
      </c>
      <c r="J19" s="645"/>
      <c r="K19" s="645"/>
      <c r="L19" s="645"/>
      <c r="M19" s="645"/>
      <c r="N19" s="646"/>
      <c r="O19" s="481"/>
      <c r="P19" s="490"/>
      <c r="Q19" s="555" t="s">
        <v>397</v>
      </c>
      <c r="R19" s="538"/>
      <c r="S19" s="52"/>
      <c r="T19" s="52"/>
      <c r="U19" s="681"/>
      <c r="V19" s="642"/>
      <c r="W19" s="641"/>
      <c r="X19" s="625"/>
    </row>
    <row r="20" spans="1:24" s="23" customFormat="1" ht="20.75" customHeight="1" x14ac:dyDescent="0.4">
      <c r="A20" s="61"/>
      <c r="B20" s="624">
        <v>52</v>
      </c>
      <c r="C20" s="647">
        <f>BOMA!I543</f>
        <v>1629.25</v>
      </c>
      <c r="D20" s="631">
        <f>SUM(I21:N21)</f>
        <v>1629.2199999999998</v>
      </c>
      <c r="E20" s="629">
        <f>ROUND(C20-D20,1)</f>
        <v>0</v>
      </c>
      <c r="F20" s="640">
        <f ca="1">SumByColor(I21:O21,Legend!$C$2)</f>
        <v>0</v>
      </c>
      <c r="G20" s="625">
        <f t="shared" ca="1" si="3"/>
        <v>0</v>
      </c>
      <c r="H20" s="62"/>
      <c r="I20" s="643" t="s">
        <v>325</v>
      </c>
      <c r="J20" s="633"/>
      <c r="K20" s="634"/>
      <c r="L20" s="125" t="s">
        <v>325</v>
      </c>
      <c r="M20" s="131" t="s">
        <v>325</v>
      </c>
      <c r="N20" s="225" t="s">
        <v>325</v>
      </c>
      <c r="O20" s="479"/>
      <c r="P20" s="487"/>
      <c r="Q20" s="543"/>
      <c r="R20" s="38"/>
      <c r="S20" s="52"/>
      <c r="T20" s="52"/>
      <c r="U20" s="681">
        <v>52</v>
      </c>
      <c r="V20" s="642">
        <f t="shared" ref="V20" si="7">SUM(Y21:AB21)</f>
        <v>0</v>
      </c>
      <c r="W20" s="640">
        <f ca="1">SumByColor(Y21:AB21,Legend!$C$2)</f>
        <v>0</v>
      </c>
      <c r="X20" s="625">
        <f t="shared" si="5"/>
        <v>0</v>
      </c>
    </row>
    <row r="21" spans="1:24" s="61" customFormat="1" ht="20.75" customHeight="1" x14ac:dyDescent="0.4">
      <c r="B21" s="624"/>
      <c r="C21" s="648"/>
      <c r="D21" s="632"/>
      <c r="E21" s="630"/>
      <c r="F21" s="641"/>
      <c r="G21" s="625"/>
      <c r="H21" s="62"/>
      <c r="I21" s="644">
        <f>705.67+0.3</f>
        <v>705.96999999999991</v>
      </c>
      <c r="J21" s="645"/>
      <c r="K21" s="646"/>
      <c r="L21" s="122">
        <v>305.57</v>
      </c>
      <c r="M21" s="223">
        <v>131.33000000000001</v>
      </c>
      <c r="N21" s="226">
        <v>486.35</v>
      </c>
      <c r="O21" s="481"/>
      <c r="P21" s="474"/>
      <c r="Q21" s="471" t="s">
        <v>398</v>
      </c>
      <c r="R21" s="538"/>
      <c r="S21" s="52"/>
      <c r="T21" s="52"/>
      <c r="U21" s="681"/>
      <c r="V21" s="642"/>
      <c r="W21" s="641"/>
      <c r="X21" s="625"/>
    </row>
    <row r="22" spans="1:24" s="23" customFormat="1" ht="32.25" customHeight="1" x14ac:dyDescent="0.35">
      <c r="A22" s="61"/>
      <c r="B22" s="624">
        <v>51</v>
      </c>
      <c r="C22" s="647">
        <f>BOMA!I533</f>
        <v>1629.9274499325163</v>
      </c>
      <c r="D22" s="631">
        <f>SUM(I23:N23)</f>
        <v>1629.92</v>
      </c>
      <c r="E22" s="629">
        <f>ROUND(C22-D22,1)</f>
        <v>0</v>
      </c>
      <c r="F22" s="640">
        <f ca="1">SumByColor(I23:O23,Legend!$C$2)</f>
        <v>0</v>
      </c>
      <c r="G22" s="625">
        <f t="shared" ca="1" si="3"/>
        <v>0</v>
      </c>
      <c r="H22" s="51"/>
      <c r="I22" s="123" t="s">
        <v>325</v>
      </c>
      <c r="J22" s="123" t="s">
        <v>325</v>
      </c>
      <c r="K22" s="123" t="s">
        <v>329</v>
      </c>
      <c r="L22" s="224" t="s">
        <v>325</v>
      </c>
      <c r="M22" s="173" t="s">
        <v>325</v>
      </c>
      <c r="N22" s="143" t="s">
        <v>325</v>
      </c>
      <c r="O22" s="231"/>
      <c r="P22" s="491"/>
      <c r="Q22" s="472" t="s">
        <v>28</v>
      </c>
      <c r="R22" s="440"/>
      <c r="U22" s="681">
        <v>51</v>
      </c>
      <c r="V22" s="642">
        <f t="shared" ref="V22" si="8">SUM(Y23:AB23)</f>
        <v>0</v>
      </c>
      <c r="W22" s="640">
        <f ca="1">SumByColor(Y23:AB23,Legend!$C$2)</f>
        <v>0</v>
      </c>
      <c r="X22" s="625">
        <f t="shared" si="5"/>
        <v>0</v>
      </c>
    </row>
    <row r="23" spans="1:24" s="61" customFormat="1" ht="20.75" customHeight="1" x14ac:dyDescent="0.35">
      <c r="B23" s="624"/>
      <c r="C23" s="648"/>
      <c r="D23" s="632"/>
      <c r="E23" s="630"/>
      <c r="F23" s="641"/>
      <c r="G23" s="625"/>
      <c r="H23" s="51"/>
      <c r="I23" s="122">
        <v>226.42</v>
      </c>
      <c r="J23" s="122">
        <f>139.42-75.7</f>
        <v>63.719999999999985</v>
      </c>
      <c r="K23" s="122">
        <v>396.41</v>
      </c>
      <c r="L23" s="181">
        <v>315.35000000000002</v>
      </c>
      <c r="M23" s="122">
        <v>131.66999999999999</v>
      </c>
      <c r="N23" s="122">
        <v>496.35</v>
      </c>
      <c r="O23" s="269"/>
      <c r="P23" s="492"/>
      <c r="Q23" s="473">
        <v>75.7</v>
      </c>
      <c r="R23" s="440"/>
      <c r="U23" s="681"/>
      <c r="V23" s="642"/>
      <c r="W23" s="641"/>
      <c r="X23" s="625"/>
    </row>
    <row r="24" spans="1:24" s="23" customFormat="1" ht="20.75" customHeight="1" x14ac:dyDescent="0.4">
      <c r="A24" s="61"/>
      <c r="B24" s="624">
        <v>50</v>
      </c>
      <c r="C24" s="647">
        <f>BOMA!I522</f>
        <v>1629.2999999999997</v>
      </c>
      <c r="D24" s="631">
        <f>SUM(I25:N25)</f>
        <v>1629.3400000000001</v>
      </c>
      <c r="E24" s="629">
        <f>ROUND(C24-D24,1)</f>
        <v>0</v>
      </c>
      <c r="F24" s="640">
        <f ca="1">SumByColor(I25:O25,Legend!$C$2)</f>
        <v>0</v>
      </c>
      <c r="G24" s="625">
        <f t="shared" ca="1" si="3"/>
        <v>0</v>
      </c>
      <c r="H24" s="51"/>
      <c r="I24" s="643" t="s">
        <v>325</v>
      </c>
      <c r="J24" s="633"/>
      <c r="K24" s="633"/>
      <c r="L24" s="633"/>
      <c r="M24" s="633"/>
      <c r="N24" s="634"/>
      <c r="O24" s="479"/>
      <c r="P24" s="489"/>
      <c r="Q24" s="446"/>
      <c r="R24" s="38"/>
      <c r="S24" s="52"/>
      <c r="T24" s="52"/>
      <c r="U24" s="681">
        <v>50</v>
      </c>
      <c r="V24" s="642">
        <f t="shared" ref="V24" si="9">SUM(Y25:AB25)</f>
        <v>0</v>
      </c>
      <c r="W24" s="640">
        <f ca="1">SumByColor(Y25:AB25,Legend!$C$2)</f>
        <v>0</v>
      </c>
      <c r="X24" s="625">
        <f t="shared" si="5"/>
        <v>0</v>
      </c>
    </row>
    <row r="25" spans="1:24" s="61" customFormat="1" ht="20.75" customHeight="1" x14ac:dyDescent="0.4">
      <c r="B25" s="624"/>
      <c r="C25" s="648"/>
      <c r="D25" s="632"/>
      <c r="E25" s="630"/>
      <c r="F25" s="641"/>
      <c r="G25" s="625"/>
      <c r="H25" s="51"/>
      <c r="I25" s="644">
        <f>1634.64-5.3</f>
        <v>1629.3400000000001</v>
      </c>
      <c r="J25" s="645"/>
      <c r="K25" s="645"/>
      <c r="L25" s="645"/>
      <c r="M25" s="645"/>
      <c r="N25" s="646"/>
      <c r="O25" s="481"/>
      <c r="P25" s="490"/>
      <c r="Q25" s="469">
        <v>5.3</v>
      </c>
      <c r="R25" s="434"/>
      <c r="S25" s="52"/>
      <c r="T25" s="52"/>
      <c r="U25" s="681"/>
      <c r="V25" s="642"/>
      <c r="W25" s="641"/>
      <c r="X25" s="625"/>
    </row>
    <row r="26" spans="1:24" s="23" customFormat="1" ht="20.75" customHeight="1" x14ac:dyDescent="0.4">
      <c r="A26" s="61"/>
      <c r="B26" s="624">
        <v>39</v>
      </c>
      <c r="C26" s="647">
        <f>BOMA!I512</f>
        <v>1630.3199999999997</v>
      </c>
      <c r="D26" s="631">
        <f>SUM(I27:N27)</f>
        <v>1630.3400000000001</v>
      </c>
      <c r="E26" s="629">
        <f>ROUND(C26-D26,1)</f>
        <v>0</v>
      </c>
      <c r="F26" s="640">
        <f ca="1">SumByColor(I27:O27,Legend!$C$2)</f>
        <v>0</v>
      </c>
      <c r="G26" s="625">
        <f t="shared" ca="1" si="3"/>
        <v>0</v>
      </c>
      <c r="H26" s="51"/>
      <c r="I26" s="643" t="s">
        <v>25</v>
      </c>
      <c r="J26" s="633"/>
      <c r="K26" s="633"/>
      <c r="L26" s="633"/>
      <c r="M26" s="633"/>
      <c r="N26" s="634"/>
      <c r="O26" s="479"/>
      <c r="P26" s="489"/>
      <c r="Q26" s="446"/>
      <c r="R26" s="38"/>
      <c r="S26" s="52"/>
      <c r="T26" s="52"/>
      <c r="U26" s="681">
        <v>39</v>
      </c>
      <c r="V26" s="642">
        <f t="shared" ref="V26" si="10">SUM(Y27:AB27)</f>
        <v>0</v>
      </c>
      <c r="W26" s="640">
        <f ca="1">SumByColor(Y27:AB27,Legend!$C$2)</f>
        <v>0</v>
      </c>
      <c r="X26" s="625">
        <f t="shared" si="5"/>
        <v>0</v>
      </c>
    </row>
    <row r="27" spans="1:24" s="61" customFormat="1" ht="20.75" customHeight="1" x14ac:dyDescent="0.4">
      <c r="B27" s="624"/>
      <c r="C27" s="648"/>
      <c r="D27" s="632"/>
      <c r="E27" s="630"/>
      <c r="F27" s="641"/>
      <c r="G27" s="625"/>
      <c r="H27" s="51"/>
      <c r="I27" s="644">
        <f>1634.64-4.3</f>
        <v>1630.3400000000001</v>
      </c>
      <c r="J27" s="645"/>
      <c r="K27" s="645"/>
      <c r="L27" s="645"/>
      <c r="M27" s="645"/>
      <c r="N27" s="646"/>
      <c r="O27" s="481"/>
      <c r="P27" s="490"/>
      <c r="Q27" s="469">
        <v>4.3</v>
      </c>
      <c r="R27" s="434"/>
      <c r="S27" s="52"/>
      <c r="T27" s="52"/>
      <c r="U27" s="681"/>
      <c r="V27" s="642"/>
      <c r="W27" s="641"/>
      <c r="X27" s="625"/>
    </row>
    <row r="28" spans="1:24" s="23" customFormat="1" ht="20.75" customHeight="1" x14ac:dyDescent="0.4">
      <c r="A28" s="61"/>
      <c r="B28" s="624">
        <v>38</v>
      </c>
      <c r="C28" s="647">
        <f>BOMA!I502</f>
        <v>1620.688594226225</v>
      </c>
      <c r="D28" s="631">
        <f>SUM(I29:N29)</f>
        <v>1620.6799999999998</v>
      </c>
      <c r="E28" s="629">
        <f>ROUND(C28-D28,1)</f>
        <v>0</v>
      </c>
      <c r="F28" s="640">
        <f ca="1">SumByColor(I29:O29,Legend!$C$2)</f>
        <v>0</v>
      </c>
      <c r="G28" s="625">
        <f t="shared" ca="1" si="3"/>
        <v>0</v>
      </c>
      <c r="H28" s="51"/>
      <c r="I28" s="643" t="s">
        <v>25</v>
      </c>
      <c r="J28" s="633"/>
      <c r="K28" s="633"/>
      <c r="L28" s="633"/>
      <c r="M28" s="633"/>
      <c r="N28" s="634"/>
      <c r="O28" s="479"/>
      <c r="P28" s="489"/>
      <c r="Q28" s="543"/>
      <c r="R28" s="38"/>
      <c r="S28" s="52"/>
      <c r="T28" s="52"/>
      <c r="U28" s="681">
        <v>38</v>
      </c>
      <c r="V28" s="642">
        <f t="shared" ref="V28" si="11">SUM(Y29:AB29)</f>
        <v>0</v>
      </c>
      <c r="W28" s="640">
        <f ca="1">SumByColor(Y29:AB29,Legend!$C$2)</f>
        <v>0</v>
      </c>
      <c r="X28" s="625">
        <f t="shared" si="5"/>
        <v>0</v>
      </c>
    </row>
    <row r="29" spans="1:24" s="61" customFormat="1" ht="20.75" customHeight="1" x14ac:dyDescent="0.4">
      <c r="B29" s="624"/>
      <c r="C29" s="648"/>
      <c r="D29" s="632"/>
      <c r="E29" s="630"/>
      <c r="F29" s="641"/>
      <c r="G29" s="625"/>
      <c r="H29" s="51"/>
      <c r="I29" s="644">
        <f>1630.58-9.9</f>
        <v>1620.6799999999998</v>
      </c>
      <c r="J29" s="645"/>
      <c r="K29" s="645"/>
      <c r="L29" s="645"/>
      <c r="M29" s="645"/>
      <c r="N29" s="646"/>
      <c r="O29" s="481"/>
      <c r="P29" s="490"/>
      <c r="Q29" s="549">
        <v>9.9</v>
      </c>
      <c r="R29" s="434"/>
      <c r="S29" s="52"/>
      <c r="T29" s="52"/>
      <c r="U29" s="681"/>
      <c r="V29" s="642"/>
      <c r="W29" s="641"/>
      <c r="X29" s="625"/>
    </row>
    <row r="30" spans="1:24" s="23" customFormat="1" ht="20.75" customHeight="1" x14ac:dyDescent="0.4">
      <c r="A30" s="61"/>
      <c r="B30" s="624">
        <v>37</v>
      </c>
      <c r="C30" s="647">
        <f>BOMA!I491</f>
        <v>1628.79</v>
      </c>
      <c r="D30" s="631">
        <f>SUM(I31:N31)</f>
        <v>1628.8300000000002</v>
      </c>
      <c r="E30" s="629">
        <f>ROUND(C30-D30,1)</f>
        <v>0</v>
      </c>
      <c r="F30" s="640">
        <f ca="1">SumByColor(I31:O31,Legend!$C$2)</f>
        <v>0</v>
      </c>
      <c r="G30" s="625">
        <f t="shared" ca="1" si="3"/>
        <v>0</v>
      </c>
      <c r="H30" s="51"/>
      <c r="I30" s="643" t="s">
        <v>25</v>
      </c>
      <c r="J30" s="633"/>
      <c r="K30" s="633"/>
      <c r="L30" s="633"/>
      <c r="M30" s="633"/>
      <c r="N30" s="634"/>
      <c r="O30" s="479"/>
      <c r="P30" s="489"/>
      <c r="Q30" s="543"/>
      <c r="R30" s="38"/>
      <c r="S30" s="52"/>
      <c r="T30" s="52"/>
      <c r="U30" s="681">
        <v>37</v>
      </c>
      <c r="V30" s="642">
        <f t="shared" ref="V30" si="12">SUM(Y31:AB31)</f>
        <v>0</v>
      </c>
      <c r="W30" s="640">
        <f ca="1">SumByColor(Y31:AB31,Legend!$C$2)</f>
        <v>0</v>
      </c>
      <c r="X30" s="625">
        <f t="shared" si="5"/>
        <v>0</v>
      </c>
    </row>
    <row r="31" spans="1:24" s="61" customFormat="1" ht="20.75" customHeight="1" x14ac:dyDescent="0.4">
      <c r="B31" s="624"/>
      <c r="C31" s="648"/>
      <c r="D31" s="632"/>
      <c r="E31" s="630"/>
      <c r="F31" s="641"/>
      <c r="G31" s="625"/>
      <c r="H31" s="51"/>
      <c r="I31" s="644">
        <f>1631.63-2.8</f>
        <v>1628.8300000000002</v>
      </c>
      <c r="J31" s="645"/>
      <c r="K31" s="645"/>
      <c r="L31" s="645"/>
      <c r="M31" s="645"/>
      <c r="N31" s="646"/>
      <c r="O31" s="481"/>
      <c r="P31" s="490"/>
      <c r="Q31" s="549">
        <v>2.8</v>
      </c>
      <c r="R31" s="434"/>
      <c r="S31" s="52"/>
      <c r="T31" s="52"/>
      <c r="U31" s="681"/>
      <c r="V31" s="642"/>
      <c r="W31" s="641"/>
      <c r="X31" s="625"/>
    </row>
    <row r="32" spans="1:24" s="23" customFormat="1" ht="20.75" customHeight="1" x14ac:dyDescent="0.4">
      <c r="A32" s="61"/>
      <c r="B32" s="624">
        <v>36</v>
      </c>
      <c r="C32" s="647">
        <f>BOMA!I481</f>
        <v>1628.79</v>
      </c>
      <c r="D32" s="631">
        <f>SUM(I33:N33)</f>
        <v>1628.8300000000002</v>
      </c>
      <c r="E32" s="629">
        <f>ROUND(C32-D32,1)</f>
        <v>0</v>
      </c>
      <c r="F32" s="640">
        <f ca="1">SumByColor(I33:O33,Legend!$C$2)</f>
        <v>0</v>
      </c>
      <c r="G32" s="625">
        <f t="shared" ca="1" si="3"/>
        <v>0</v>
      </c>
      <c r="H32" s="51"/>
      <c r="I32" s="643" t="s">
        <v>25</v>
      </c>
      <c r="J32" s="633"/>
      <c r="K32" s="633"/>
      <c r="L32" s="633"/>
      <c r="M32" s="633"/>
      <c r="N32" s="634"/>
      <c r="O32" s="479"/>
      <c r="P32" s="489"/>
      <c r="Q32" s="543"/>
      <c r="R32" s="38"/>
      <c r="S32" s="52"/>
      <c r="T32" s="52"/>
      <c r="U32" s="681">
        <v>36</v>
      </c>
      <c r="V32" s="642">
        <f t="shared" ref="V32" si="13">SUM(Y33:AB33)</f>
        <v>0</v>
      </c>
      <c r="W32" s="640">
        <f ca="1">SumByColor(Y33:AB33,Legend!$C$2)</f>
        <v>0</v>
      </c>
      <c r="X32" s="625">
        <f t="shared" si="5"/>
        <v>0</v>
      </c>
    </row>
    <row r="33" spans="1:28" s="61" customFormat="1" ht="20.75" customHeight="1" x14ac:dyDescent="0.4">
      <c r="B33" s="624"/>
      <c r="C33" s="648"/>
      <c r="D33" s="632"/>
      <c r="E33" s="630"/>
      <c r="F33" s="641"/>
      <c r="G33" s="625"/>
      <c r="H33" s="51"/>
      <c r="I33" s="644">
        <f>1631.63-2.8</f>
        <v>1628.8300000000002</v>
      </c>
      <c r="J33" s="645"/>
      <c r="K33" s="645"/>
      <c r="L33" s="663"/>
      <c r="M33" s="645"/>
      <c r="N33" s="646"/>
      <c r="O33" s="481"/>
      <c r="P33" s="490"/>
      <c r="Q33" s="549">
        <v>2.8</v>
      </c>
      <c r="R33" s="434"/>
      <c r="S33" s="52"/>
      <c r="T33" s="52"/>
      <c r="U33" s="681"/>
      <c r="V33" s="642"/>
      <c r="W33" s="641"/>
      <c r="X33" s="625"/>
    </row>
    <row r="34" spans="1:28" s="23" customFormat="1" ht="20.75" customHeight="1" x14ac:dyDescent="0.4">
      <c r="A34" s="61"/>
      <c r="B34" s="624">
        <v>35</v>
      </c>
      <c r="C34" s="647">
        <f>BOMA!I471</f>
        <v>1621.2677004212183</v>
      </c>
      <c r="D34" s="631">
        <f>SUM(I35:N35)</f>
        <v>1621.27</v>
      </c>
      <c r="E34" s="629">
        <f>ROUND(C34-D34,1)</f>
        <v>0</v>
      </c>
      <c r="F34" s="640">
        <f ca="1">SumByColor(I35:O35,Legend!$C$2)</f>
        <v>0</v>
      </c>
      <c r="G34" s="625">
        <f t="shared" ca="1" si="3"/>
        <v>0</v>
      </c>
      <c r="H34" s="51"/>
      <c r="I34" s="643" t="s">
        <v>25</v>
      </c>
      <c r="J34" s="633"/>
      <c r="K34" s="633"/>
      <c r="L34" s="633"/>
      <c r="M34" s="633"/>
      <c r="N34" s="634"/>
      <c r="O34" s="482"/>
      <c r="P34" s="490"/>
      <c r="Q34" s="551"/>
      <c r="R34" s="434"/>
      <c r="S34" s="52"/>
      <c r="T34" s="52"/>
      <c r="U34" s="681">
        <v>35</v>
      </c>
      <c r="V34" s="642">
        <f t="shared" ref="V34" si="14">SUM(Y35:AB35)</f>
        <v>0</v>
      </c>
      <c r="W34" s="640">
        <f ca="1">SumByColor(Y35:AB35,Legend!$C$2)</f>
        <v>0</v>
      </c>
      <c r="X34" s="625">
        <f t="shared" si="5"/>
        <v>0</v>
      </c>
    </row>
    <row r="35" spans="1:28" s="61" customFormat="1" ht="20.75" customHeight="1" x14ac:dyDescent="0.4">
      <c r="B35" s="624"/>
      <c r="C35" s="648"/>
      <c r="D35" s="632"/>
      <c r="E35" s="630"/>
      <c r="F35" s="641"/>
      <c r="G35" s="625"/>
      <c r="H35" s="51"/>
      <c r="I35" s="689">
        <v>1621.27</v>
      </c>
      <c r="J35" s="690"/>
      <c r="K35" s="690"/>
      <c r="L35" s="690"/>
      <c r="M35" s="690"/>
      <c r="N35" s="691"/>
      <c r="O35" s="481"/>
      <c r="P35" s="490"/>
      <c r="Q35" s="549">
        <v>6.6</v>
      </c>
      <c r="R35" s="434"/>
      <c r="S35" s="52"/>
      <c r="T35" s="52"/>
      <c r="U35" s="681"/>
      <c r="V35" s="642"/>
      <c r="W35" s="641"/>
      <c r="X35" s="625"/>
    </row>
    <row r="36" spans="1:28" s="61" customFormat="1" ht="36.75" customHeight="1" x14ac:dyDescent="0.4">
      <c r="B36" s="624">
        <v>33</v>
      </c>
      <c r="C36" s="647">
        <f>BOMA!I460</f>
        <v>1628.55</v>
      </c>
      <c r="D36" s="631">
        <f>SUM(I37:N37)</f>
        <v>1628.51</v>
      </c>
      <c r="E36" s="629">
        <f>ROUND(C36-D36,1)</f>
        <v>0</v>
      </c>
      <c r="F36" s="640">
        <f ca="1">SumByColor(I37:O37,Legend!$C$2)</f>
        <v>0</v>
      </c>
      <c r="G36" s="625">
        <f t="shared" ca="1" si="3"/>
        <v>0</v>
      </c>
      <c r="H36" s="51"/>
      <c r="I36" s="173" t="s">
        <v>605</v>
      </c>
      <c r="J36" s="131" t="s">
        <v>605</v>
      </c>
      <c r="K36" s="131" t="s">
        <v>605</v>
      </c>
      <c r="L36" s="717" t="s">
        <v>25</v>
      </c>
      <c r="M36" s="633"/>
      <c r="N36" s="634"/>
      <c r="O36" s="479"/>
      <c r="P36" s="489"/>
      <c r="Q36" s="543" t="s">
        <v>28</v>
      </c>
      <c r="R36" s="38"/>
      <c r="S36" s="52"/>
      <c r="T36" s="52"/>
      <c r="U36" s="681">
        <v>33</v>
      </c>
      <c r="V36" s="642">
        <f t="shared" ref="V36" si="15">SUM(Y37:AB37)</f>
        <v>0</v>
      </c>
      <c r="W36" s="640">
        <f ca="1">SumByColor(Y37:AB37,Legend!$C$2)</f>
        <v>0</v>
      </c>
      <c r="X36" s="625">
        <f t="shared" si="5"/>
        <v>0</v>
      </c>
    </row>
    <row r="37" spans="1:28" s="61" customFormat="1" ht="20.75" customHeight="1" x14ac:dyDescent="0.4">
      <c r="B37" s="624"/>
      <c r="C37" s="648"/>
      <c r="D37" s="632"/>
      <c r="E37" s="630"/>
      <c r="F37" s="641"/>
      <c r="G37" s="625"/>
      <c r="H37" s="51"/>
      <c r="I37" s="234">
        <v>216.23</v>
      </c>
      <c r="J37" s="234">
        <v>130.66999999999999</v>
      </c>
      <c r="K37" s="174">
        <v>357.61</v>
      </c>
      <c r="L37" s="703">
        <f>925.4-1.4</f>
        <v>924</v>
      </c>
      <c r="M37" s="718"/>
      <c r="N37" s="719"/>
      <c r="O37" s="483"/>
      <c r="P37" s="493"/>
      <c r="Q37" s="552">
        <v>1.4</v>
      </c>
      <c r="R37" s="440"/>
      <c r="S37" s="52"/>
      <c r="T37" s="52"/>
      <c r="U37" s="681"/>
      <c r="V37" s="642"/>
      <c r="W37" s="641"/>
      <c r="X37" s="625"/>
    </row>
    <row r="38" spans="1:28" s="23" customFormat="1" ht="20.75" customHeight="1" x14ac:dyDescent="0.4">
      <c r="A38" s="61"/>
      <c r="B38" s="624">
        <v>32</v>
      </c>
      <c r="C38" s="647">
        <f>BOMA!I450</f>
        <v>1629.07</v>
      </c>
      <c r="D38" s="631">
        <f>SUM(I39:N39)</f>
        <v>1629.08</v>
      </c>
      <c r="E38" s="629">
        <f>ROUND(C38-D38,1)</f>
        <v>0</v>
      </c>
      <c r="F38" s="640">
        <f ca="1">SumByColor(I39:O39,Legend!$C$2)</f>
        <v>835.66</v>
      </c>
      <c r="G38" s="625">
        <f t="shared" ca="1" si="3"/>
        <v>0.51296437252928029</v>
      </c>
      <c r="H38" s="51"/>
      <c r="I38" s="702" t="s">
        <v>333</v>
      </c>
      <c r="J38" s="702"/>
      <c r="K38" s="131" t="s">
        <v>326</v>
      </c>
      <c r="L38" s="643" t="s">
        <v>26</v>
      </c>
      <c r="M38" s="633"/>
      <c r="N38" s="232" t="s">
        <v>337</v>
      </c>
      <c r="O38" s="480"/>
      <c r="P38" s="489"/>
      <c r="Q38" s="543" t="s">
        <v>394</v>
      </c>
      <c r="R38" s="38"/>
      <c r="S38" s="52"/>
      <c r="T38" s="52"/>
      <c r="U38" s="681">
        <v>32</v>
      </c>
      <c r="V38" s="642">
        <f t="shared" ref="V38" si="16">SUM(Y39:AB39)</f>
        <v>0</v>
      </c>
      <c r="W38" s="640">
        <f ca="1">SumByColor(Y39:AB39,Legend!$C$2)</f>
        <v>0</v>
      </c>
      <c r="X38" s="625">
        <f t="shared" si="5"/>
        <v>0</v>
      </c>
    </row>
    <row r="39" spans="1:28" s="61" customFormat="1" ht="20.75" customHeight="1" x14ac:dyDescent="0.4">
      <c r="B39" s="624"/>
      <c r="C39" s="648"/>
      <c r="D39" s="632"/>
      <c r="E39" s="630"/>
      <c r="F39" s="641"/>
      <c r="G39" s="625"/>
      <c r="H39" s="51"/>
      <c r="I39" s="655">
        <v>347.01</v>
      </c>
      <c r="J39" s="655"/>
      <c r="K39" s="122">
        <v>357.73</v>
      </c>
      <c r="L39" s="644">
        <v>435.69</v>
      </c>
      <c r="M39" s="645"/>
      <c r="N39" s="233">
        <v>488.65</v>
      </c>
      <c r="O39" s="481"/>
      <c r="P39" s="490"/>
      <c r="Q39" s="549">
        <v>4.72</v>
      </c>
      <c r="R39" s="434"/>
      <c r="S39" s="52"/>
      <c r="T39" s="52"/>
      <c r="U39" s="681"/>
      <c r="V39" s="642"/>
      <c r="W39" s="641"/>
      <c r="X39" s="625"/>
    </row>
    <row r="40" spans="1:28" s="23" customFormat="1" ht="20.75" customHeight="1" x14ac:dyDescent="0.4">
      <c r="A40" s="61"/>
      <c r="B40" s="624">
        <v>31</v>
      </c>
      <c r="C40" s="647">
        <f>BOMA!I440</f>
        <v>1623.8645345557122</v>
      </c>
      <c r="D40" s="631">
        <f>SUM(I41:N41)</f>
        <v>1623.88</v>
      </c>
      <c r="E40" s="629">
        <f>ROUND(C40-D40,1)</f>
        <v>0</v>
      </c>
      <c r="F40" s="640">
        <f ca="1">SumByColor(I41:O41,Legend!$C$2)</f>
        <v>923.51</v>
      </c>
      <c r="G40" s="625">
        <f t="shared" ca="1" si="3"/>
        <v>0.56870581570066747</v>
      </c>
      <c r="H40" s="51"/>
      <c r="I40" s="694" t="s">
        <v>327</v>
      </c>
      <c r="J40" s="695"/>
      <c r="K40" s="650"/>
      <c r="L40" s="699" t="s">
        <v>379</v>
      </c>
      <c r="M40" s="700"/>
      <c r="N40" s="701"/>
      <c r="O40" s="484"/>
      <c r="P40" s="494"/>
      <c r="Q40" s="551" t="s">
        <v>327</v>
      </c>
      <c r="R40" s="434"/>
      <c r="S40" s="52"/>
      <c r="T40" s="52"/>
      <c r="U40" s="681">
        <v>31</v>
      </c>
      <c r="V40" s="642">
        <f t="shared" ref="V40" si="17">SUM(Y41:AB41)</f>
        <v>0</v>
      </c>
      <c r="W40" s="640">
        <f ca="1">SumByColor(Y41:AB41,Legend!$C$2)</f>
        <v>0</v>
      </c>
      <c r="X40" s="625">
        <f t="shared" si="5"/>
        <v>0</v>
      </c>
    </row>
    <row r="41" spans="1:28" s="61" customFormat="1" ht="20.75" customHeight="1" x14ac:dyDescent="0.4">
      <c r="B41" s="624"/>
      <c r="C41" s="648"/>
      <c r="D41" s="632"/>
      <c r="E41" s="630"/>
      <c r="F41" s="641"/>
      <c r="G41" s="625"/>
      <c r="H41" s="51"/>
      <c r="I41" s="644">
        <f>704.57-4.2</f>
        <v>700.37</v>
      </c>
      <c r="J41" s="645"/>
      <c r="K41" s="645"/>
      <c r="L41" s="652">
        <v>923.51</v>
      </c>
      <c r="M41" s="653"/>
      <c r="N41" s="654"/>
      <c r="O41" s="485"/>
      <c r="P41" s="495"/>
      <c r="Q41" s="549">
        <v>4.2</v>
      </c>
      <c r="R41" s="434"/>
      <c r="S41" s="52"/>
      <c r="T41" s="52"/>
      <c r="U41" s="681"/>
      <c r="V41" s="642"/>
      <c r="W41" s="641"/>
      <c r="X41" s="625"/>
    </row>
    <row r="42" spans="1:28" s="23" customFormat="1" ht="20.75" customHeight="1" x14ac:dyDescent="0.4">
      <c r="A42" s="61"/>
      <c r="B42" s="624">
        <v>30</v>
      </c>
      <c r="C42" s="647">
        <f>BOMA!I429</f>
        <v>1630.5900000000001</v>
      </c>
      <c r="D42" s="631">
        <f>SUM(I43:N43)</f>
        <v>1630.62</v>
      </c>
      <c r="E42" s="629">
        <f>ROUND(C42-D42,1)</f>
        <v>0</v>
      </c>
      <c r="F42" s="640">
        <f ca="1">SumByColor(I43:O43,Legend!$C$2)</f>
        <v>330.39</v>
      </c>
      <c r="G42" s="625">
        <f t="shared" ca="1" si="3"/>
        <v>0.20261618280163374</v>
      </c>
      <c r="H42" s="51"/>
      <c r="I42" s="656" t="s">
        <v>383</v>
      </c>
      <c r="J42" s="656"/>
      <c r="K42" s="633" t="s">
        <v>330</v>
      </c>
      <c r="L42" s="633"/>
      <c r="M42" s="633"/>
      <c r="N42" s="634"/>
      <c r="O42" s="480"/>
      <c r="P42" s="489"/>
      <c r="Q42" s="543" t="s">
        <v>223</v>
      </c>
      <c r="R42" s="38"/>
      <c r="S42" s="52"/>
      <c r="T42" s="52"/>
      <c r="U42" s="681">
        <v>30</v>
      </c>
      <c r="V42" s="642">
        <f t="shared" ref="V42" si="18">SUM(Y43:AB43)</f>
        <v>0</v>
      </c>
      <c r="W42" s="640">
        <f ca="1">SumByColor(Y43:AB43,Legend!$C$2)</f>
        <v>0</v>
      </c>
      <c r="X42" s="625">
        <f t="shared" si="5"/>
        <v>0</v>
      </c>
    </row>
    <row r="43" spans="1:28" s="61" customFormat="1" ht="20.75" customHeight="1" x14ac:dyDescent="0.4">
      <c r="B43" s="624"/>
      <c r="C43" s="648"/>
      <c r="D43" s="632"/>
      <c r="E43" s="630"/>
      <c r="F43" s="641"/>
      <c r="G43" s="625"/>
      <c r="H43" s="51"/>
      <c r="I43" s="655">
        <v>330.39</v>
      </c>
      <c r="J43" s="655"/>
      <c r="K43" s="645">
        <v>1300.23</v>
      </c>
      <c r="L43" s="645"/>
      <c r="M43" s="645"/>
      <c r="N43" s="646"/>
      <c r="O43" s="486"/>
      <c r="P43" s="490"/>
      <c r="Q43" s="549">
        <v>1</v>
      </c>
      <c r="R43" s="434"/>
      <c r="S43" s="52"/>
      <c r="T43" s="52"/>
      <c r="U43" s="681"/>
      <c r="V43" s="642"/>
      <c r="W43" s="641"/>
      <c r="X43" s="625"/>
    </row>
    <row r="44" spans="1:28" s="23" customFormat="1" ht="36.75" customHeight="1" x14ac:dyDescent="0.4">
      <c r="A44" s="61"/>
      <c r="B44" s="624">
        <v>29</v>
      </c>
      <c r="C44" s="647">
        <f>BOMA!I419</f>
        <v>1612.32</v>
      </c>
      <c r="D44" s="631">
        <f>SUM(I45:O45)</f>
        <v>1612.3400000000001</v>
      </c>
      <c r="E44" s="629">
        <f>ROUND(C44-D44,1)</f>
        <v>0</v>
      </c>
      <c r="F44" s="640">
        <f ca="1">SumByColor(I45:O45,Legend!$C$2)</f>
        <v>0</v>
      </c>
      <c r="G44" s="625">
        <f t="shared" ca="1" si="3"/>
        <v>0</v>
      </c>
      <c r="H44" s="65"/>
      <c r="I44" s="123" t="s">
        <v>325</v>
      </c>
      <c r="J44" s="704" t="s">
        <v>325</v>
      </c>
      <c r="K44" s="704"/>
      <c r="L44" s="704"/>
      <c r="M44" s="123" t="s">
        <v>325</v>
      </c>
      <c r="N44" s="123" t="s">
        <v>325</v>
      </c>
      <c r="O44" s="123" t="s">
        <v>325</v>
      </c>
      <c r="P44" s="489"/>
      <c r="Q44" s="543" t="s">
        <v>325</v>
      </c>
      <c r="R44" s="38"/>
      <c r="S44" s="52"/>
      <c r="T44" s="52"/>
      <c r="U44" s="681">
        <v>29</v>
      </c>
      <c r="V44" s="642">
        <f t="shared" ref="V44" si="19">SUM(Y45:AB45)</f>
        <v>0</v>
      </c>
      <c r="W44" s="640">
        <f ca="1">SumByColor(Y45:AB45,Legend!$C$2)</f>
        <v>0</v>
      </c>
      <c r="X44" s="625">
        <f t="shared" si="5"/>
        <v>0</v>
      </c>
    </row>
    <row r="45" spans="1:28" s="61" customFormat="1" ht="20.75" customHeight="1" x14ac:dyDescent="0.4">
      <c r="B45" s="624"/>
      <c r="C45" s="648"/>
      <c r="D45" s="632"/>
      <c r="E45" s="630"/>
      <c r="F45" s="641"/>
      <c r="G45" s="625"/>
      <c r="H45" s="65"/>
      <c r="I45" s="122">
        <v>478.83</v>
      </c>
      <c r="J45" s="705">
        <v>588.61</v>
      </c>
      <c r="K45" s="705"/>
      <c r="L45" s="705"/>
      <c r="M45" s="122">
        <v>280.01</v>
      </c>
      <c r="N45" s="122">
        <v>137.66999999999999</v>
      </c>
      <c r="O45" s="122">
        <f>139.22-12</f>
        <v>127.22</v>
      </c>
      <c r="P45" s="490"/>
      <c r="Q45" s="549">
        <v>12</v>
      </c>
      <c r="R45" s="439"/>
      <c r="S45" s="52"/>
      <c r="T45" s="52"/>
      <c r="U45" s="681"/>
      <c r="V45" s="642"/>
      <c r="W45" s="641"/>
      <c r="X45" s="625"/>
    </row>
    <row r="46" spans="1:28" s="23" customFormat="1" ht="20.75" customHeight="1" x14ac:dyDescent="0.4">
      <c r="A46" s="61"/>
      <c r="B46" s="624">
        <v>28</v>
      </c>
      <c r="C46" s="647">
        <f>BOMA!I407</f>
        <v>1543.5819915254237</v>
      </c>
      <c r="D46" s="631">
        <f>SUM(I47:N47)</f>
        <v>1543.62</v>
      </c>
      <c r="E46" s="629">
        <f>ROUND(C46-D46,1)</f>
        <v>0</v>
      </c>
      <c r="F46" s="640">
        <f ca="1">SumByColor(I47:O47,Legend!$C$2)</f>
        <v>0</v>
      </c>
      <c r="G46" s="625">
        <f t="shared" ca="1" si="3"/>
        <v>0</v>
      </c>
      <c r="H46" s="51"/>
      <c r="I46" s="643" t="s">
        <v>223</v>
      </c>
      <c r="J46" s="633"/>
      <c r="K46" s="633"/>
      <c r="L46" s="634"/>
      <c r="M46" s="643" t="s">
        <v>223</v>
      </c>
      <c r="N46" s="633"/>
      <c r="O46" s="634"/>
      <c r="P46" s="489"/>
      <c r="Q46" s="543"/>
      <c r="R46" s="38"/>
      <c r="S46" s="52"/>
      <c r="T46" s="52"/>
      <c r="U46" s="681">
        <v>28</v>
      </c>
      <c r="V46" s="642">
        <f>SUM(Y47:AB47)</f>
        <v>15.829999999999998</v>
      </c>
      <c r="W46" s="640">
        <f ca="1">SumByColor(Y47:AB47,Legend!$C$2)</f>
        <v>0</v>
      </c>
      <c r="X46" s="625">
        <f t="shared" ca="1" si="5"/>
        <v>0</v>
      </c>
      <c r="Y46" s="457" t="s">
        <v>223</v>
      </c>
      <c r="Z46" s="109" t="s">
        <v>223</v>
      </c>
      <c r="AA46" s="110"/>
      <c r="AB46" s="110"/>
    </row>
    <row r="47" spans="1:28" s="61" customFormat="1" ht="20.75" customHeight="1" x14ac:dyDescent="0.35">
      <c r="B47" s="624"/>
      <c r="C47" s="648"/>
      <c r="D47" s="632"/>
      <c r="E47" s="630"/>
      <c r="F47" s="641"/>
      <c r="G47" s="625"/>
      <c r="H47" s="51"/>
      <c r="I47" s="689">
        <v>1092.24</v>
      </c>
      <c r="J47" s="690"/>
      <c r="K47" s="690"/>
      <c r="L47" s="691"/>
      <c r="M47" s="644">
        <f>526.98-75.6</f>
        <v>451.38</v>
      </c>
      <c r="N47" s="645"/>
      <c r="O47" s="646"/>
      <c r="P47" s="490"/>
      <c r="Q47" s="549">
        <f>75.6-7.39-8.44</f>
        <v>59.769999999999996</v>
      </c>
      <c r="R47" s="434"/>
      <c r="S47" s="67"/>
      <c r="T47" s="67"/>
      <c r="U47" s="681"/>
      <c r="V47" s="642"/>
      <c r="W47" s="641"/>
      <c r="X47" s="625"/>
      <c r="Y47" s="456">
        <f>BOMA!D403</f>
        <v>7.39</v>
      </c>
      <c r="Z47" s="63">
        <f>BOMA!D404</f>
        <v>8.44</v>
      </c>
      <c r="AA47" s="66"/>
      <c r="AB47" s="66"/>
    </row>
    <row r="48" spans="1:28" s="17" customFormat="1" ht="9.75" customHeight="1" x14ac:dyDescent="0.4">
      <c r="B48" s="54"/>
      <c r="C48" s="55"/>
      <c r="D48" s="56"/>
      <c r="E48" s="117"/>
      <c r="F48" s="57"/>
      <c r="G48" s="54"/>
      <c r="H48" s="54"/>
      <c r="I48" s="54"/>
      <c r="J48" s="54"/>
      <c r="K48" s="54"/>
      <c r="L48" s="54"/>
      <c r="M48" s="54"/>
      <c r="N48" s="54"/>
      <c r="O48" s="54"/>
      <c r="P48" s="489"/>
      <c r="Q48" s="553"/>
      <c r="R48" s="537"/>
      <c r="S48" s="52"/>
      <c r="T48" s="52"/>
      <c r="U48" s="54"/>
      <c r="V48" s="58"/>
      <c r="W48" s="59"/>
      <c r="X48" s="60"/>
      <c r="Y48" s="53"/>
      <c r="Z48" s="53"/>
      <c r="AA48" s="53"/>
      <c r="AB48" s="53"/>
    </row>
    <row r="49" spans="1:28" s="23" customFormat="1" ht="20.75" customHeight="1" x14ac:dyDescent="0.4">
      <c r="A49" s="61"/>
      <c r="B49" s="628">
        <v>27</v>
      </c>
      <c r="C49" s="626">
        <f>BOMA!I392</f>
        <v>1547.7674437292999</v>
      </c>
      <c r="D49" s="631">
        <f>SUM(I50:O50)</f>
        <v>1547.77</v>
      </c>
      <c r="E49" s="629">
        <f>ROUND(C49-D49,1)</f>
        <v>0</v>
      </c>
      <c r="F49" s="640">
        <f ca="1">SumByColor(I50:O50,Legend!$C$2)</f>
        <v>0</v>
      </c>
      <c r="G49" s="625">
        <f ca="1">(F49/D49)*100%</f>
        <v>0</v>
      </c>
      <c r="H49" s="51"/>
      <c r="I49" s="123" t="s">
        <v>372</v>
      </c>
      <c r="J49" s="123" t="s">
        <v>372</v>
      </c>
      <c r="K49" s="643" t="s">
        <v>163</v>
      </c>
      <c r="L49" s="633"/>
      <c r="M49" s="633"/>
      <c r="N49" s="633"/>
      <c r="O49" s="634"/>
      <c r="P49" s="487"/>
      <c r="Q49" s="554" t="s">
        <v>27</v>
      </c>
      <c r="R49" s="38"/>
      <c r="S49" s="52"/>
      <c r="T49" s="52"/>
      <c r="U49" s="628">
        <v>27</v>
      </c>
      <c r="V49" s="642">
        <f>SUM(Y50:AB50)</f>
        <v>15.75</v>
      </c>
      <c r="W49" s="640">
        <f ca="1">SumByColor(Y50:AB50,Legend!$C$2)</f>
        <v>0</v>
      </c>
      <c r="X49" s="625">
        <f t="shared" ref="X49:X75" ca="1" si="20">IF(V49&lt;&gt;0,(W49/V49)*100%,0)</f>
        <v>0</v>
      </c>
      <c r="Y49" s="463" t="s">
        <v>27</v>
      </c>
      <c r="Z49" s="266" t="s">
        <v>27</v>
      </c>
      <c r="AA49" s="110"/>
      <c r="AB49" s="110"/>
    </row>
    <row r="50" spans="1:28" s="61" customFormat="1" ht="20.75" customHeight="1" x14ac:dyDescent="0.35">
      <c r="B50" s="628"/>
      <c r="C50" s="627"/>
      <c r="D50" s="632"/>
      <c r="E50" s="630"/>
      <c r="F50" s="641"/>
      <c r="G50" s="625"/>
      <c r="H50" s="51"/>
      <c r="I50" s="126">
        <v>289.7</v>
      </c>
      <c r="J50" s="126">
        <v>137.66999999999999</v>
      </c>
      <c r="K50" s="689">
        <f>1179.1-58.7</f>
        <v>1120.3999999999999</v>
      </c>
      <c r="L50" s="690"/>
      <c r="M50" s="690"/>
      <c r="N50" s="690"/>
      <c r="O50" s="691"/>
      <c r="P50" s="487"/>
      <c r="Q50" s="554">
        <v>58.7</v>
      </c>
      <c r="R50" s="542"/>
      <c r="S50" s="67"/>
      <c r="T50" s="67"/>
      <c r="U50" s="628"/>
      <c r="V50" s="642"/>
      <c r="W50" s="641"/>
      <c r="X50" s="625"/>
      <c r="Y50" s="464">
        <f>BOMA!D389</f>
        <v>7.39</v>
      </c>
      <c r="Z50" s="263">
        <f>BOMA!D390</f>
        <v>8.36</v>
      </c>
      <c r="AA50" s="66"/>
      <c r="AB50" s="66"/>
    </row>
    <row r="51" spans="1:28" s="23" customFormat="1" ht="25.5" customHeight="1" x14ac:dyDescent="0.4">
      <c r="A51" s="61"/>
      <c r="B51" s="628">
        <v>26</v>
      </c>
      <c r="C51" s="626">
        <f>BOMA!I378</f>
        <v>1547.694391597156</v>
      </c>
      <c r="D51" s="631">
        <f>SUM(I52:O52)</f>
        <v>1547.69</v>
      </c>
      <c r="E51" s="629">
        <f>ROUND(C51-D51,1)</f>
        <v>0</v>
      </c>
      <c r="F51" s="640">
        <f ca="1">SumByColor(I52:O52,Legend!$C$2)</f>
        <v>306.92</v>
      </c>
      <c r="G51" s="625">
        <f ca="1">(F51/D51)*100%</f>
        <v>0.19830844678197831</v>
      </c>
      <c r="H51" s="51"/>
      <c r="I51" s="123" t="s">
        <v>164</v>
      </c>
      <c r="J51" s="128" t="s">
        <v>214</v>
      </c>
      <c r="K51" s="128" t="s">
        <v>214</v>
      </c>
      <c r="L51" s="245" t="s">
        <v>373</v>
      </c>
      <c r="M51" s="643" t="s">
        <v>164</v>
      </c>
      <c r="N51" s="633"/>
      <c r="O51" s="634"/>
      <c r="P51" s="487"/>
      <c r="Q51" s="543" t="s">
        <v>393</v>
      </c>
      <c r="R51" s="38"/>
      <c r="S51" s="52"/>
      <c r="T51" s="52"/>
      <c r="U51" s="628">
        <v>26</v>
      </c>
      <c r="V51" s="642">
        <f>SUM(Y52:AB52)</f>
        <v>15.829999999999998</v>
      </c>
      <c r="W51" s="640">
        <f ca="1">SumByColor(Y52:AB52,Legend!$C$2)</f>
        <v>0</v>
      </c>
      <c r="X51" s="625">
        <f t="shared" ca="1" si="20"/>
        <v>0</v>
      </c>
      <c r="Y51" s="457" t="s">
        <v>393</v>
      </c>
      <c r="Z51" s="109" t="s">
        <v>393</v>
      </c>
      <c r="AA51" s="110"/>
      <c r="AB51" s="110"/>
    </row>
    <row r="52" spans="1:28" s="61" customFormat="1" ht="20.75" customHeight="1" x14ac:dyDescent="0.35">
      <c r="B52" s="628"/>
      <c r="C52" s="627"/>
      <c r="D52" s="632"/>
      <c r="E52" s="630"/>
      <c r="F52" s="641"/>
      <c r="G52" s="625"/>
      <c r="H52" s="51"/>
      <c r="I52" s="230">
        <v>445.23</v>
      </c>
      <c r="J52" s="122">
        <v>137.66</v>
      </c>
      <c r="K52" s="122">
        <v>137.66999999999999</v>
      </c>
      <c r="L52" s="235">
        <v>306.92</v>
      </c>
      <c r="M52" s="692">
        <f>532.51-12.3</f>
        <v>520.21</v>
      </c>
      <c r="N52" s="693"/>
      <c r="O52" s="691"/>
      <c r="P52" s="487"/>
      <c r="Q52" s="554">
        <v>12.3</v>
      </c>
      <c r="R52" s="542"/>
      <c r="S52" s="67"/>
      <c r="T52" s="67"/>
      <c r="U52" s="628"/>
      <c r="V52" s="642"/>
      <c r="W52" s="641"/>
      <c r="X52" s="625"/>
      <c r="Y52" s="456">
        <f>BOMA!D375</f>
        <v>7.39</v>
      </c>
      <c r="Z52" s="63">
        <f>BOMA!D376</f>
        <v>8.44</v>
      </c>
      <c r="AA52" s="66"/>
      <c r="AB52" s="66"/>
    </row>
    <row r="53" spans="1:28" s="23" customFormat="1" ht="33" customHeight="1" x14ac:dyDescent="0.4">
      <c r="A53" s="61"/>
      <c r="B53" s="628">
        <v>25</v>
      </c>
      <c r="C53" s="626">
        <f>BOMA!I364</f>
        <v>1547.7674437292999</v>
      </c>
      <c r="D53" s="631">
        <f>SUM(I54:O54)</f>
        <v>1547.73</v>
      </c>
      <c r="E53" s="629">
        <f>ROUND(C53-D53,1)</f>
        <v>0</v>
      </c>
      <c r="F53" s="640">
        <f ca="1">SumByColor(I54:O54,Legend!$C$2)</f>
        <v>137.66999999999999</v>
      </c>
      <c r="G53" s="625">
        <f ca="1">(F53/D53)*100%</f>
        <v>8.8949622996259026E-2</v>
      </c>
      <c r="H53" s="51"/>
      <c r="I53" s="123" t="s">
        <v>25</v>
      </c>
      <c r="J53" s="228" t="s">
        <v>163</v>
      </c>
      <c r="K53" s="232" t="s">
        <v>154</v>
      </c>
      <c r="L53" s="224" t="s">
        <v>235</v>
      </c>
      <c r="M53" s="643" t="s">
        <v>332</v>
      </c>
      <c r="N53" s="634"/>
      <c r="O53" s="123" t="s">
        <v>604</v>
      </c>
      <c r="P53" s="487"/>
      <c r="Q53" s="543"/>
      <c r="R53" s="38"/>
      <c r="S53" s="52"/>
      <c r="T53" s="52"/>
      <c r="U53" s="628">
        <v>25</v>
      </c>
      <c r="V53" s="642">
        <f>SUM(Y54:AB54)</f>
        <v>12.86</v>
      </c>
      <c r="W53" s="640">
        <f ca="1">SumByColor(Y54:AB54,Legend!$C$2)</f>
        <v>12.86</v>
      </c>
      <c r="X53" s="625">
        <f t="shared" ca="1" si="20"/>
        <v>1</v>
      </c>
      <c r="Y53" s="465" t="s">
        <v>154</v>
      </c>
      <c r="Z53" s="271" t="s">
        <v>154</v>
      </c>
      <c r="AA53" s="110"/>
      <c r="AB53" s="110"/>
    </row>
    <row r="54" spans="1:28" s="61" customFormat="1" ht="23.25" customHeight="1" x14ac:dyDescent="0.35">
      <c r="B54" s="628"/>
      <c r="C54" s="627"/>
      <c r="D54" s="632"/>
      <c r="E54" s="630"/>
      <c r="F54" s="641"/>
      <c r="G54" s="625"/>
      <c r="H54" s="51"/>
      <c r="I54" s="122">
        <v>439.08</v>
      </c>
      <c r="J54" s="229">
        <v>137.66999999999999</v>
      </c>
      <c r="K54" s="233">
        <v>137.66999999999999</v>
      </c>
      <c r="L54" s="181">
        <v>306.92</v>
      </c>
      <c r="M54" s="644">
        <v>388.68</v>
      </c>
      <c r="N54" s="646"/>
      <c r="O54" s="122">
        <v>137.71</v>
      </c>
      <c r="P54" s="474"/>
      <c r="Q54" s="549"/>
      <c r="R54" s="439"/>
      <c r="S54" s="67"/>
      <c r="T54" s="67"/>
      <c r="U54" s="628"/>
      <c r="V54" s="642"/>
      <c r="W54" s="641"/>
      <c r="X54" s="625"/>
      <c r="Y54" s="466">
        <f>BOMA!D360</f>
        <v>7.39</v>
      </c>
      <c r="Z54" s="272">
        <f>BOMA!D361</f>
        <v>5.47</v>
      </c>
      <c r="AA54" s="66"/>
      <c r="AB54" s="66"/>
    </row>
    <row r="55" spans="1:28" s="23" customFormat="1" ht="33.75" customHeight="1" x14ac:dyDescent="0.4">
      <c r="A55" s="61"/>
      <c r="B55" s="628">
        <v>23</v>
      </c>
      <c r="C55" s="626">
        <f>BOMA!I349</f>
        <v>1547.694391597156</v>
      </c>
      <c r="D55" s="631">
        <f>SUM(I56:O56)</f>
        <v>1547.71</v>
      </c>
      <c r="E55" s="629">
        <f>ROUND(C55-D55,1)</f>
        <v>0</v>
      </c>
      <c r="F55" s="640">
        <f ca="1">SumByColor(I56:O56,Legend!$C$2)</f>
        <v>1547.71</v>
      </c>
      <c r="G55" s="625">
        <f ca="1">(F55/D55)*100%</f>
        <v>1</v>
      </c>
      <c r="H55" s="51"/>
      <c r="I55" s="448" t="s">
        <v>603</v>
      </c>
      <c r="J55" s="696" t="s">
        <v>385</v>
      </c>
      <c r="K55" s="697"/>
      <c r="L55" s="698"/>
      <c r="M55" s="232" t="s">
        <v>335</v>
      </c>
      <c r="N55" s="232" t="s">
        <v>337</v>
      </c>
      <c r="O55" s="232" t="s">
        <v>338</v>
      </c>
      <c r="P55" s="487"/>
      <c r="Q55" s="543"/>
      <c r="R55" s="38"/>
      <c r="S55" s="52"/>
      <c r="T55" s="52"/>
      <c r="U55" s="628">
        <v>23</v>
      </c>
      <c r="V55" s="642">
        <f>SUM(Y56:AB56)</f>
        <v>15.829999999999998</v>
      </c>
      <c r="W55" s="640">
        <f ca="1">SumByColor(Y56:AB56,Legend!$C$2)</f>
        <v>15.829999999999998</v>
      </c>
      <c r="X55" s="625">
        <f t="shared" ca="1" si="20"/>
        <v>1</v>
      </c>
      <c r="Y55" s="467" t="s">
        <v>154</v>
      </c>
      <c r="Z55" s="111" t="s">
        <v>154</v>
      </c>
      <c r="AA55" s="110"/>
      <c r="AB55" s="110"/>
    </row>
    <row r="56" spans="1:28" s="61" customFormat="1" ht="20.75" customHeight="1" x14ac:dyDescent="0.35">
      <c r="B56" s="628"/>
      <c r="C56" s="627"/>
      <c r="D56" s="632"/>
      <c r="E56" s="630"/>
      <c r="F56" s="641"/>
      <c r="G56" s="625"/>
      <c r="H56" s="51"/>
      <c r="I56" s="235">
        <v>439.08</v>
      </c>
      <c r="J56" s="652">
        <v>582.25</v>
      </c>
      <c r="K56" s="653"/>
      <c r="L56" s="654"/>
      <c r="M56" s="233">
        <v>250.99</v>
      </c>
      <c r="N56" s="233">
        <v>137.68</v>
      </c>
      <c r="O56" s="233">
        <v>137.71</v>
      </c>
      <c r="P56" s="474"/>
      <c r="Q56" s="549"/>
      <c r="R56" s="434"/>
      <c r="S56" s="67"/>
      <c r="T56" s="67"/>
      <c r="U56" s="628"/>
      <c r="V56" s="642"/>
      <c r="W56" s="641"/>
      <c r="X56" s="625"/>
      <c r="Y56" s="454">
        <f>BOMA!D346</f>
        <v>7.39</v>
      </c>
      <c r="Z56" s="64">
        <f>BOMA!D347</f>
        <v>8.44</v>
      </c>
      <c r="AA56" s="66"/>
      <c r="AB56" s="66"/>
    </row>
    <row r="57" spans="1:28" s="23" customFormat="1" ht="20.75" customHeight="1" x14ac:dyDescent="0.4">
      <c r="A57" s="61"/>
      <c r="B57" s="628">
        <v>22</v>
      </c>
      <c r="C57" s="626">
        <f>BOMA!I335</f>
        <v>1567.5700000000002</v>
      </c>
      <c r="D57" s="631">
        <f>SUM(I58:O58)</f>
        <v>1567.5400000000002</v>
      </c>
      <c r="E57" s="629">
        <f>ROUND(C57-D57,1)</f>
        <v>0</v>
      </c>
      <c r="F57" s="640">
        <f ca="1">SumByColor(I58:O58,Legend!$C$2)</f>
        <v>0</v>
      </c>
      <c r="G57" s="625">
        <f ca="1">(F57/D57)*100%</f>
        <v>0</v>
      </c>
      <c r="H57" s="51"/>
      <c r="I57" s="643" t="s">
        <v>325</v>
      </c>
      <c r="J57" s="633"/>
      <c r="K57" s="633"/>
      <c r="L57" s="633"/>
      <c r="M57" s="633"/>
      <c r="N57" s="633"/>
      <c r="O57" s="634"/>
      <c r="P57" s="487"/>
      <c r="Q57" s="543" t="s">
        <v>325</v>
      </c>
      <c r="R57" s="38"/>
      <c r="S57" s="52"/>
      <c r="T57" s="52"/>
      <c r="U57" s="628">
        <v>22</v>
      </c>
      <c r="V57" s="642">
        <f t="shared" ref="V57" si="21">SUM(Y58:AB58)</f>
        <v>0</v>
      </c>
      <c r="W57" s="640">
        <f ca="1">SumByColor(Y58:AB58,Legend!$C$2)</f>
        <v>0</v>
      </c>
      <c r="X57" s="625">
        <f t="shared" si="20"/>
        <v>0</v>
      </c>
      <c r="Y57" s="53"/>
      <c r="Z57" s="53"/>
      <c r="AA57" s="52"/>
      <c r="AB57" s="52"/>
    </row>
    <row r="58" spans="1:28" s="61" customFormat="1" ht="20.75" customHeight="1" x14ac:dyDescent="0.4">
      <c r="B58" s="628"/>
      <c r="C58" s="627"/>
      <c r="D58" s="632"/>
      <c r="E58" s="630"/>
      <c r="F58" s="641"/>
      <c r="G58" s="625"/>
      <c r="H58" s="51"/>
      <c r="I58" s="644">
        <f>1566.14+1.4</f>
        <v>1567.5400000000002</v>
      </c>
      <c r="J58" s="645"/>
      <c r="K58" s="645"/>
      <c r="L58" s="645"/>
      <c r="M58" s="645"/>
      <c r="N58" s="645"/>
      <c r="O58" s="646"/>
      <c r="P58" s="474"/>
      <c r="Q58" s="555" t="s">
        <v>395</v>
      </c>
      <c r="R58" s="538"/>
      <c r="S58" s="52"/>
      <c r="T58" s="52"/>
      <c r="U58" s="628"/>
      <c r="V58" s="642"/>
      <c r="W58" s="641"/>
      <c r="X58" s="625"/>
      <c r="Y58" s="53"/>
      <c r="Z58" s="53"/>
      <c r="AA58" s="53"/>
      <c r="AB58" s="53"/>
    </row>
    <row r="59" spans="1:28" s="23" customFormat="1" ht="20.75" customHeight="1" x14ac:dyDescent="0.4">
      <c r="A59" s="61"/>
      <c r="B59" s="628">
        <v>21</v>
      </c>
      <c r="C59" s="626">
        <f>BOMA!I323</f>
        <v>1547.7674437292999</v>
      </c>
      <c r="D59" s="631">
        <f>SUM(I60:O60)</f>
        <v>1547.77</v>
      </c>
      <c r="E59" s="629">
        <f>ROUND(C59-D59,1)</f>
        <v>0</v>
      </c>
      <c r="F59" s="640">
        <f ca="1">SumByColor(I60:O60,Legend!$C$2)</f>
        <v>1547.77</v>
      </c>
      <c r="G59" s="625">
        <f ca="1">(F59/D59)*100%</f>
        <v>1</v>
      </c>
      <c r="H59" s="51"/>
      <c r="I59" s="696" t="s">
        <v>154</v>
      </c>
      <c r="J59" s="697"/>
      <c r="K59" s="697"/>
      <c r="L59" s="697"/>
      <c r="M59" s="697"/>
      <c r="N59" s="697"/>
      <c r="O59" s="698"/>
      <c r="P59" s="487"/>
      <c r="Q59" s="543"/>
      <c r="R59" s="38"/>
      <c r="S59" s="52"/>
      <c r="T59" s="52"/>
      <c r="U59" s="628">
        <v>21</v>
      </c>
      <c r="V59" s="642">
        <f t="shared" ref="V59" si="22">SUM(Y60:AB60)</f>
        <v>12.86</v>
      </c>
      <c r="W59" s="640">
        <f ca="1">SumByColor(Y60:AB60,Legend!$C$2)</f>
        <v>12.86</v>
      </c>
      <c r="X59" s="625">
        <f t="shared" ca="1" si="20"/>
        <v>1</v>
      </c>
      <c r="Y59" s="453" t="s">
        <v>154</v>
      </c>
      <c r="Z59" s="262" t="s">
        <v>154</v>
      </c>
      <c r="AA59" s="110"/>
      <c r="AB59" s="110"/>
    </row>
    <row r="60" spans="1:28" s="61" customFormat="1" ht="20.75" customHeight="1" x14ac:dyDescent="0.35">
      <c r="B60" s="628"/>
      <c r="C60" s="627"/>
      <c r="D60" s="632"/>
      <c r="E60" s="630"/>
      <c r="F60" s="641"/>
      <c r="G60" s="625"/>
      <c r="H60" s="51"/>
      <c r="I60" s="669">
        <v>1547.77</v>
      </c>
      <c r="J60" s="670"/>
      <c r="K60" s="670"/>
      <c r="L60" s="670"/>
      <c r="M60" s="670"/>
      <c r="N60" s="670"/>
      <c r="O60" s="671"/>
      <c r="P60" s="487"/>
      <c r="Q60" s="554"/>
      <c r="R60" s="542"/>
      <c r="S60" s="67"/>
      <c r="T60" s="67"/>
      <c r="U60" s="628"/>
      <c r="V60" s="642"/>
      <c r="W60" s="641"/>
      <c r="X60" s="625"/>
      <c r="Y60" s="454">
        <f>BOMA!D319</f>
        <v>7.39</v>
      </c>
      <c r="Z60" s="64">
        <f>BOMA!D320</f>
        <v>5.47</v>
      </c>
      <c r="AA60" s="66"/>
      <c r="AB60" s="66"/>
    </row>
    <row r="61" spans="1:28" s="23" customFormat="1" ht="20.75" customHeight="1" x14ac:dyDescent="0.4">
      <c r="A61" s="61"/>
      <c r="B61" s="628">
        <v>20</v>
      </c>
      <c r="C61" s="626">
        <f>BOMA!I308</f>
        <v>1547.694391597156</v>
      </c>
      <c r="D61" s="631">
        <f>SUM(I62:O62)</f>
        <v>1547.7</v>
      </c>
      <c r="E61" s="629">
        <f>ROUND(C61-D61,1)</f>
        <v>0</v>
      </c>
      <c r="F61" s="640">
        <f ca="1">SumByColor(I62:O62,Legend!$C$2)</f>
        <v>388.70000000000005</v>
      </c>
      <c r="G61" s="625">
        <f ca="1">(F61/D61)*100%</f>
        <v>0.25114686308716161</v>
      </c>
      <c r="H61" s="51"/>
      <c r="I61" s="123" t="s">
        <v>325</v>
      </c>
      <c r="J61" s="649" t="s">
        <v>183</v>
      </c>
      <c r="K61" s="650"/>
      <c r="L61" s="651"/>
      <c r="M61" s="244" t="s">
        <v>335</v>
      </c>
      <c r="N61" s="125" t="s">
        <v>165</v>
      </c>
      <c r="O61" s="245" t="s">
        <v>338</v>
      </c>
      <c r="P61" s="494"/>
      <c r="Q61" s="550"/>
      <c r="R61" s="129"/>
      <c r="S61" s="52"/>
      <c r="T61" s="52"/>
      <c r="U61" s="628">
        <v>20</v>
      </c>
      <c r="V61" s="642">
        <f t="shared" ref="V61" si="23">SUM(Y62:AB62)</f>
        <v>15.829999999999998</v>
      </c>
      <c r="W61" s="640">
        <f ca="1">SumByColor(Y62:AB62,Legend!$C$2)</f>
        <v>15.829999999999998</v>
      </c>
      <c r="X61" s="625">
        <f t="shared" ca="1" si="20"/>
        <v>1</v>
      </c>
      <c r="Y61" s="467" t="s">
        <v>154</v>
      </c>
      <c r="Z61" s="111" t="s">
        <v>154</v>
      </c>
      <c r="AA61" s="110"/>
      <c r="AB61" s="110"/>
    </row>
    <row r="62" spans="1:28" s="61" customFormat="1" ht="20.75" customHeight="1" x14ac:dyDescent="0.35">
      <c r="B62" s="628"/>
      <c r="C62" s="627"/>
      <c r="D62" s="632"/>
      <c r="E62" s="630"/>
      <c r="F62" s="641"/>
      <c r="G62" s="625"/>
      <c r="H62" s="51"/>
      <c r="I62" s="122">
        <v>370.08</v>
      </c>
      <c r="J62" s="644">
        <v>651.25</v>
      </c>
      <c r="K62" s="645"/>
      <c r="L62" s="646"/>
      <c r="M62" s="235">
        <v>250.99</v>
      </c>
      <c r="N62" s="122">
        <v>137.66999999999999</v>
      </c>
      <c r="O62" s="235">
        <v>137.71</v>
      </c>
      <c r="P62" s="495"/>
      <c r="Q62" s="547"/>
      <c r="R62" s="124"/>
      <c r="S62" s="67"/>
      <c r="T62" s="67"/>
      <c r="U62" s="628"/>
      <c r="V62" s="642"/>
      <c r="W62" s="641"/>
      <c r="X62" s="625"/>
      <c r="Y62" s="454">
        <f>BOMA!D305</f>
        <v>7.39</v>
      </c>
      <c r="Z62" s="64">
        <f>BOMA!D306</f>
        <v>8.44</v>
      </c>
      <c r="AA62" s="66"/>
      <c r="AB62" s="66"/>
    </row>
    <row r="63" spans="1:28" s="23" customFormat="1" ht="20.75" customHeight="1" x14ac:dyDescent="0.4">
      <c r="A63" s="61"/>
      <c r="B63" s="628">
        <v>19</v>
      </c>
      <c r="C63" s="626">
        <f>BOMA!I294</f>
        <v>1547.694391597156</v>
      </c>
      <c r="D63" s="631">
        <f>SUM(I64:O64)</f>
        <v>1547.7</v>
      </c>
      <c r="E63" s="629">
        <f>ROUND(C63-D63,1)</f>
        <v>0</v>
      </c>
      <c r="F63" s="640">
        <f ca="1">SumByColor(I64:O64,Legend!$C$2)</f>
        <v>557.91000000000008</v>
      </c>
      <c r="G63" s="625">
        <f ca="1">(F63/D63)*100%</f>
        <v>0.36047683659623964</v>
      </c>
      <c r="H63" s="51"/>
      <c r="I63" s="643" t="s">
        <v>224</v>
      </c>
      <c r="J63" s="633"/>
      <c r="K63" s="634"/>
      <c r="L63" s="236" t="s">
        <v>373</v>
      </c>
      <c r="M63" s="236" t="s">
        <v>335</v>
      </c>
      <c r="N63" s="123" t="s">
        <v>224</v>
      </c>
      <c r="O63" s="125" t="s">
        <v>224</v>
      </c>
      <c r="P63" s="474"/>
      <c r="Q63" s="551"/>
      <c r="R63" s="434"/>
      <c r="S63" s="52"/>
      <c r="T63" s="52"/>
      <c r="U63" s="628">
        <v>19</v>
      </c>
      <c r="V63" s="642">
        <f t="shared" ref="V63" si="24">SUM(Y64:AB64)</f>
        <v>15.829999999999998</v>
      </c>
      <c r="W63" s="640">
        <f ca="1">SumByColor(Y64:AB64,Legend!$C$2)</f>
        <v>15.829999999999998</v>
      </c>
      <c r="X63" s="625">
        <f t="shared" ca="1" si="20"/>
        <v>1</v>
      </c>
      <c r="Y63" s="453" t="s">
        <v>154</v>
      </c>
      <c r="Z63" s="111" t="s">
        <v>154</v>
      </c>
      <c r="AA63" s="110"/>
      <c r="AB63" s="110"/>
    </row>
    <row r="64" spans="1:28" s="61" customFormat="1" ht="20.75" customHeight="1" x14ac:dyDescent="0.35">
      <c r="B64" s="628"/>
      <c r="C64" s="627"/>
      <c r="D64" s="632"/>
      <c r="E64" s="630"/>
      <c r="F64" s="641"/>
      <c r="G64" s="625"/>
      <c r="H64" s="51"/>
      <c r="I64" s="644">
        <v>714.41</v>
      </c>
      <c r="J64" s="645"/>
      <c r="K64" s="646"/>
      <c r="L64" s="235">
        <v>306.92</v>
      </c>
      <c r="M64" s="235">
        <v>250.99</v>
      </c>
      <c r="N64" s="122">
        <v>137.66999999999999</v>
      </c>
      <c r="O64" s="122">
        <v>137.71</v>
      </c>
      <c r="P64" s="474"/>
      <c r="Q64" s="549"/>
      <c r="R64" s="434"/>
      <c r="S64" s="67"/>
      <c r="T64" s="67"/>
      <c r="U64" s="628"/>
      <c r="V64" s="642"/>
      <c r="W64" s="641"/>
      <c r="X64" s="625"/>
      <c r="Y64" s="454">
        <f>BOMA!D291</f>
        <v>7.39</v>
      </c>
      <c r="Z64" s="64">
        <f>BOMA!D292</f>
        <v>8.44</v>
      </c>
      <c r="AA64" s="66"/>
      <c r="AB64" s="66"/>
    </row>
    <row r="65" spans="1:37" s="23" customFormat="1" ht="20.75" customHeight="1" x14ac:dyDescent="0.4">
      <c r="A65" s="61"/>
      <c r="B65" s="628">
        <v>18</v>
      </c>
      <c r="C65" s="626">
        <f>BOMA!I280</f>
        <v>1563.7810374560884</v>
      </c>
      <c r="D65" s="631">
        <f>SUM(I66:O66)</f>
        <v>1563.78</v>
      </c>
      <c r="E65" s="629">
        <f>ROUND(C65-D65,1)</f>
        <v>0</v>
      </c>
      <c r="F65" s="640">
        <f ca="1">SumByColor(I66:O66,Legend!$C$2)</f>
        <v>1563.78</v>
      </c>
      <c r="G65" s="625">
        <f ca="1">(F65/D65)*100%</f>
        <v>1</v>
      </c>
      <c r="H65" s="51"/>
      <c r="I65" s="635" t="s">
        <v>154</v>
      </c>
      <c r="J65" s="636"/>
      <c r="K65" s="636"/>
      <c r="L65" s="636"/>
      <c r="M65" s="636"/>
      <c r="N65" s="636"/>
      <c r="O65" s="637"/>
      <c r="P65" s="487"/>
      <c r="Q65" s="543"/>
      <c r="R65" s="38"/>
      <c r="S65" s="52"/>
      <c r="T65" s="52"/>
      <c r="U65" s="628">
        <v>18</v>
      </c>
      <c r="V65" s="642">
        <f t="shared" ref="V65" si="25">SUM(Y66:AB66)</f>
        <v>0</v>
      </c>
      <c r="W65" s="640">
        <f ca="1">SumByColor(Y66:AB66,Legend!$C$2)</f>
        <v>0</v>
      </c>
      <c r="X65" s="625">
        <f t="shared" si="20"/>
        <v>0</v>
      </c>
      <c r="Y65" s="52"/>
      <c r="Z65" s="52"/>
      <c r="AA65" s="52"/>
      <c r="AB65" s="52"/>
    </row>
    <row r="66" spans="1:37" s="61" customFormat="1" ht="20.75" customHeight="1" x14ac:dyDescent="0.4">
      <c r="B66" s="628"/>
      <c r="C66" s="627"/>
      <c r="D66" s="632"/>
      <c r="E66" s="630"/>
      <c r="F66" s="641"/>
      <c r="G66" s="625"/>
      <c r="H66" s="51"/>
      <c r="I66" s="652">
        <v>1563.78</v>
      </c>
      <c r="J66" s="653"/>
      <c r="K66" s="653"/>
      <c r="L66" s="653"/>
      <c r="M66" s="653"/>
      <c r="N66" s="653"/>
      <c r="O66" s="654"/>
      <c r="P66" s="474"/>
      <c r="Q66" s="549"/>
      <c r="R66" s="434"/>
      <c r="S66" s="52"/>
      <c r="T66" s="52"/>
      <c r="U66" s="628"/>
      <c r="V66" s="642"/>
      <c r="W66" s="641"/>
      <c r="X66" s="625"/>
      <c r="Y66" s="53"/>
      <c r="Z66" s="53"/>
      <c r="AA66" s="53"/>
      <c r="AB66" s="53"/>
    </row>
    <row r="67" spans="1:37" s="23" customFormat="1" ht="26.25" customHeight="1" x14ac:dyDescent="0.4">
      <c r="A67" s="61"/>
      <c r="B67" s="628">
        <v>17</v>
      </c>
      <c r="C67" s="626">
        <f>BOMA!I267</f>
        <v>1547.6845104472457</v>
      </c>
      <c r="D67" s="631">
        <f>SUM(I68:O68)</f>
        <v>1547.69</v>
      </c>
      <c r="E67" s="629">
        <f>ROUND(C67-D67,1)</f>
        <v>0</v>
      </c>
      <c r="F67" s="640">
        <f ca="1">SumByColor(I68:O68,Legend!$C$2)</f>
        <v>0</v>
      </c>
      <c r="G67" s="625">
        <f ca="1">(F67/D67)*100%</f>
        <v>0</v>
      </c>
      <c r="H67" s="51"/>
      <c r="I67" s="684" t="s">
        <v>218</v>
      </c>
      <c r="J67" s="685"/>
      <c r="K67" s="685"/>
      <c r="L67" s="686"/>
      <c r="M67" s="643" t="s">
        <v>218</v>
      </c>
      <c r="N67" s="633"/>
      <c r="O67" s="634"/>
      <c r="P67" s="487"/>
      <c r="Q67" s="543"/>
      <c r="R67" s="38"/>
      <c r="S67" s="52"/>
      <c r="T67" s="52"/>
      <c r="U67" s="628">
        <v>17</v>
      </c>
      <c r="V67" s="642">
        <f t="shared" ref="V67" si="26">SUM(Y68:AB68)</f>
        <v>15.829999999999998</v>
      </c>
      <c r="W67" s="640">
        <f ca="1">SumByColor(Y68:AB68,Legend!$C$2)</f>
        <v>0</v>
      </c>
      <c r="X67" s="625">
        <f t="shared" ca="1" si="20"/>
        <v>0</v>
      </c>
      <c r="Y67" s="463" t="s">
        <v>218</v>
      </c>
      <c r="Z67" s="266" t="s">
        <v>218</v>
      </c>
      <c r="AA67" s="110"/>
      <c r="AB67" s="110"/>
    </row>
    <row r="68" spans="1:37" s="61" customFormat="1" ht="21.75" customHeight="1" x14ac:dyDescent="0.35">
      <c r="B68" s="628"/>
      <c r="C68" s="627"/>
      <c r="D68" s="632"/>
      <c r="E68" s="630"/>
      <c r="F68" s="641"/>
      <c r="G68" s="625"/>
      <c r="H68" s="51"/>
      <c r="I68" s="176">
        <v>439.08</v>
      </c>
      <c r="J68" s="131">
        <v>137.66</v>
      </c>
      <c r="K68" s="177">
        <v>137.66999999999999</v>
      </c>
      <c r="L68" s="131">
        <v>306.91000000000003</v>
      </c>
      <c r="M68" s="644">
        <v>526.37</v>
      </c>
      <c r="N68" s="645"/>
      <c r="O68" s="646"/>
      <c r="P68" s="474"/>
      <c r="Q68" s="549"/>
      <c r="R68" s="434"/>
      <c r="S68" s="67"/>
      <c r="T68" s="67"/>
      <c r="U68" s="628"/>
      <c r="V68" s="642"/>
      <c r="W68" s="641"/>
      <c r="X68" s="625"/>
      <c r="Y68" s="464">
        <f>BOMA!D264</f>
        <v>7.39</v>
      </c>
      <c r="Z68" s="265">
        <f>BOMA!D265</f>
        <v>8.44</v>
      </c>
      <c r="AA68" s="66"/>
      <c r="AB68" s="66"/>
    </row>
    <row r="69" spans="1:37" s="23" customFormat="1" ht="20.75" customHeight="1" x14ac:dyDescent="0.4">
      <c r="A69" s="61"/>
      <c r="B69" s="628">
        <v>16</v>
      </c>
      <c r="C69" s="626">
        <f>BOMA!I253</f>
        <v>1547.6845104472457</v>
      </c>
      <c r="D69" s="631">
        <f>SUM(I70:O70)</f>
        <v>1547.6999999999998</v>
      </c>
      <c r="E69" s="629">
        <f>ROUND(C69-D69,1)</f>
        <v>0</v>
      </c>
      <c r="F69" s="640">
        <f ca="1">SumByColor(I70:O70,Legend!$C$2)</f>
        <v>0</v>
      </c>
      <c r="G69" s="625">
        <f ca="1">(F69/D69)*100%</f>
        <v>0</v>
      </c>
      <c r="H69" s="51"/>
      <c r="I69" s="684" t="s">
        <v>224</v>
      </c>
      <c r="J69" s="685"/>
      <c r="K69" s="686"/>
      <c r="L69" s="643" t="s">
        <v>224</v>
      </c>
      <c r="M69" s="633"/>
      <c r="N69" s="633"/>
      <c r="O69" s="634"/>
      <c r="P69" s="474"/>
      <c r="Q69" s="551" t="s">
        <v>224</v>
      </c>
      <c r="R69" s="434"/>
      <c r="S69" s="52"/>
      <c r="T69" s="52"/>
      <c r="U69" s="628">
        <v>16</v>
      </c>
      <c r="V69" s="642">
        <f t="shared" ref="V69" si="27">SUM(Y70:AB70)</f>
        <v>15.829999999999998</v>
      </c>
      <c r="W69" s="640">
        <f ca="1">SumByColor(Y70:AB70,Legend!$C$2)</f>
        <v>0</v>
      </c>
      <c r="X69" s="625">
        <f t="shared" ca="1" si="20"/>
        <v>0</v>
      </c>
      <c r="Y69" s="457" t="s">
        <v>224</v>
      </c>
      <c r="Z69" s="112" t="s">
        <v>224</v>
      </c>
      <c r="AA69" s="110"/>
      <c r="AB69" s="110"/>
    </row>
    <row r="70" spans="1:37" s="61" customFormat="1" ht="20.75" customHeight="1" x14ac:dyDescent="0.35">
      <c r="B70" s="628"/>
      <c r="C70" s="627"/>
      <c r="D70" s="632"/>
      <c r="E70" s="630"/>
      <c r="F70" s="641"/>
      <c r="G70" s="625"/>
      <c r="H70" s="51"/>
      <c r="I70" s="644">
        <v>694.5</v>
      </c>
      <c r="J70" s="645"/>
      <c r="K70" s="646"/>
      <c r="L70" s="644">
        <f>880.4-27.2</f>
        <v>853.19999999999993</v>
      </c>
      <c r="M70" s="645"/>
      <c r="N70" s="645"/>
      <c r="O70" s="646"/>
      <c r="P70" s="474"/>
      <c r="Q70" s="544">
        <f>27.2-7.39-8.44</f>
        <v>11.37</v>
      </c>
      <c r="R70" s="434"/>
      <c r="S70" s="67"/>
      <c r="T70" s="67"/>
      <c r="U70" s="628"/>
      <c r="V70" s="642"/>
      <c r="W70" s="641"/>
      <c r="X70" s="625"/>
      <c r="Y70" s="456">
        <f>BOMA!D250</f>
        <v>7.39</v>
      </c>
      <c r="Z70" s="68">
        <f>BOMA!D251</f>
        <v>8.44</v>
      </c>
      <c r="AA70" s="66"/>
      <c r="AB70" s="66"/>
    </row>
    <row r="71" spans="1:37" s="23" customFormat="1" ht="20.75" customHeight="1" x14ac:dyDescent="0.4">
      <c r="A71" s="61"/>
      <c r="B71" s="628">
        <v>15</v>
      </c>
      <c r="C71" s="626">
        <f>BOMA!I240</f>
        <v>1547.7709235518103</v>
      </c>
      <c r="D71" s="631">
        <f>SUM(I72:O72)</f>
        <v>1547.75</v>
      </c>
      <c r="E71" s="629">
        <f>ROUND(C71-D71,1)</f>
        <v>0</v>
      </c>
      <c r="F71" s="640">
        <f ca="1">SumByColor(I72:O72,Legend!$C$2)</f>
        <v>0</v>
      </c>
      <c r="G71" s="625">
        <f ca="1">(F71/D71)*100%</f>
        <v>0</v>
      </c>
      <c r="H71" s="51"/>
      <c r="I71" s="643" t="s">
        <v>166</v>
      </c>
      <c r="J71" s="633"/>
      <c r="K71" s="633"/>
      <c r="L71" s="633"/>
      <c r="M71" s="633"/>
      <c r="N71" s="633"/>
      <c r="O71" s="634"/>
      <c r="P71" s="487"/>
      <c r="Q71" s="554"/>
      <c r="R71" s="38"/>
      <c r="S71" s="52"/>
      <c r="T71" s="52"/>
      <c r="U71" s="628">
        <v>15</v>
      </c>
      <c r="V71" s="642">
        <f t="shared" ref="V71" si="28">SUM(Y72:AB72)</f>
        <v>12.84</v>
      </c>
      <c r="W71" s="640">
        <f ca="1">SumByColor(Y72:AB72,Legend!$C$2)</f>
        <v>0</v>
      </c>
      <c r="X71" s="625">
        <f t="shared" ca="1" si="20"/>
        <v>0</v>
      </c>
      <c r="Y71" s="468" t="s">
        <v>151</v>
      </c>
      <c r="Z71" s="264" t="s">
        <v>151</v>
      </c>
      <c r="AA71" s="110"/>
      <c r="AB71" s="110"/>
    </row>
    <row r="72" spans="1:37" s="61" customFormat="1" ht="20.75" customHeight="1" x14ac:dyDescent="0.35">
      <c r="B72" s="628"/>
      <c r="C72" s="627"/>
      <c r="D72" s="632"/>
      <c r="E72" s="630"/>
      <c r="F72" s="641"/>
      <c r="G72" s="625"/>
      <c r="H72" s="51"/>
      <c r="I72" s="689">
        <v>1547.75</v>
      </c>
      <c r="J72" s="690"/>
      <c r="K72" s="690"/>
      <c r="L72" s="690"/>
      <c r="M72" s="690"/>
      <c r="N72" s="690"/>
      <c r="O72" s="691"/>
      <c r="P72" s="487"/>
      <c r="Q72" s="554"/>
      <c r="R72" s="38"/>
      <c r="S72" s="67"/>
      <c r="T72" s="67"/>
      <c r="U72" s="628"/>
      <c r="V72" s="642"/>
      <c r="W72" s="641"/>
      <c r="X72" s="625"/>
      <c r="Y72" s="464">
        <f>BOMA!D235</f>
        <v>7.38</v>
      </c>
      <c r="Z72" s="265">
        <f>BOMA!D236</f>
        <v>5.46</v>
      </c>
      <c r="AA72" s="66"/>
      <c r="AB72" s="66"/>
    </row>
    <row r="73" spans="1:37" s="23" customFormat="1" ht="20.75" customHeight="1" x14ac:dyDescent="0.4">
      <c r="A73" s="61"/>
      <c r="B73" s="628">
        <v>12</v>
      </c>
      <c r="C73" s="626">
        <f>BOMA!I225</f>
        <v>1565.69</v>
      </c>
      <c r="D73" s="631">
        <f>SUM(I74:O74)</f>
        <v>1565.69</v>
      </c>
      <c r="E73" s="629">
        <f>ROUND(C73-D73,1)</f>
        <v>0</v>
      </c>
      <c r="F73" s="640">
        <f ca="1">SumByColor(I74:O74,Legend!$C$2)</f>
        <v>1565.69</v>
      </c>
      <c r="G73" s="625">
        <f ca="1">(F73/D73)*100%</f>
        <v>1</v>
      </c>
      <c r="H73" s="51"/>
      <c r="I73" s="635" t="s">
        <v>154</v>
      </c>
      <c r="J73" s="636"/>
      <c r="K73" s="636"/>
      <c r="L73" s="636"/>
      <c r="M73" s="636"/>
      <c r="N73" s="636"/>
      <c r="O73" s="637"/>
      <c r="P73" s="487"/>
      <c r="Q73" s="665"/>
      <c r="R73" s="38"/>
      <c r="S73" s="52"/>
      <c r="T73" s="52"/>
      <c r="U73" s="628">
        <v>12</v>
      </c>
      <c r="V73" s="642">
        <f t="shared" ref="V73" si="29">SUM(Y74:AB74)</f>
        <v>0</v>
      </c>
      <c r="W73" s="640">
        <f ca="1">SumByColor(Y74:AB74,Legend!$C$2)</f>
        <v>0</v>
      </c>
      <c r="X73" s="625">
        <f t="shared" si="20"/>
        <v>0</v>
      </c>
      <c r="Y73" s="52"/>
      <c r="Z73" s="69"/>
      <c r="AA73" s="52"/>
      <c r="AB73" s="52"/>
    </row>
    <row r="74" spans="1:37" s="61" customFormat="1" ht="20.75" customHeight="1" x14ac:dyDescent="0.4">
      <c r="B74" s="628"/>
      <c r="C74" s="627"/>
      <c r="D74" s="632"/>
      <c r="E74" s="630"/>
      <c r="F74" s="641"/>
      <c r="G74" s="625"/>
      <c r="H74" s="51"/>
      <c r="I74" s="652">
        <v>1565.69</v>
      </c>
      <c r="J74" s="653"/>
      <c r="K74" s="653"/>
      <c r="L74" s="653"/>
      <c r="M74" s="653"/>
      <c r="N74" s="653"/>
      <c r="O74" s="654"/>
      <c r="P74" s="474"/>
      <c r="Q74" s="665"/>
      <c r="R74" s="38"/>
      <c r="S74" s="52"/>
      <c r="T74" s="52"/>
      <c r="U74" s="628"/>
      <c r="V74" s="642"/>
      <c r="W74" s="641"/>
      <c r="X74" s="625"/>
      <c r="Y74" s="53"/>
      <c r="Z74" s="53"/>
      <c r="AA74" s="53"/>
      <c r="AB74" s="53"/>
    </row>
    <row r="75" spans="1:37" s="23" customFormat="1" ht="20.75" customHeight="1" x14ac:dyDescent="0.4">
      <c r="A75" s="61"/>
      <c r="B75" s="628">
        <v>11</v>
      </c>
      <c r="C75" s="626">
        <f>BOMA!I214</f>
        <v>1519.2050014594824</v>
      </c>
      <c r="D75" s="631">
        <f>SUM(I76:O76)</f>
        <v>1519.21</v>
      </c>
      <c r="E75" s="629">
        <f>ROUND(C75-D75,1)</f>
        <v>0</v>
      </c>
      <c r="F75" s="640">
        <f ca="1">SumByColor(I76:O76,Legend!$C$2)</f>
        <v>1519.21</v>
      </c>
      <c r="G75" s="625">
        <f ca="1">(F75/D75)*100%</f>
        <v>1</v>
      </c>
      <c r="H75" s="51"/>
      <c r="I75" s="635" t="s">
        <v>154</v>
      </c>
      <c r="J75" s="636"/>
      <c r="K75" s="636"/>
      <c r="L75" s="636"/>
      <c r="M75" s="636"/>
      <c r="N75" s="636"/>
      <c r="O75" s="637"/>
      <c r="P75" s="487"/>
      <c r="Q75" s="543"/>
      <c r="R75" s="38"/>
      <c r="S75" s="52"/>
      <c r="T75" s="52"/>
      <c r="U75" s="628">
        <v>11</v>
      </c>
      <c r="V75" s="642">
        <f t="shared" ref="V75" si="30">SUM(Y76:AB76)</f>
        <v>16.009999999999998</v>
      </c>
      <c r="W75" s="640">
        <f ca="1">SumByColor(Y76:AB76,Legend!$C$2)</f>
        <v>16.009999999999998</v>
      </c>
      <c r="X75" s="625">
        <f t="shared" ca="1" si="20"/>
        <v>1</v>
      </c>
      <c r="Y75" s="453" t="s">
        <v>154</v>
      </c>
      <c r="Z75" s="262" t="s">
        <v>154</v>
      </c>
      <c r="AA75" s="110"/>
      <c r="AB75" s="110"/>
    </row>
    <row r="76" spans="1:37" s="61" customFormat="1" ht="20.75" customHeight="1" x14ac:dyDescent="0.35">
      <c r="B76" s="628"/>
      <c r="C76" s="627"/>
      <c r="D76" s="632"/>
      <c r="E76" s="630"/>
      <c r="F76" s="641"/>
      <c r="G76" s="625"/>
      <c r="H76" s="51"/>
      <c r="I76" s="652">
        <v>1519.21</v>
      </c>
      <c r="J76" s="653"/>
      <c r="K76" s="653"/>
      <c r="L76" s="653"/>
      <c r="M76" s="653"/>
      <c r="N76" s="653"/>
      <c r="O76" s="654"/>
      <c r="P76" s="474"/>
      <c r="Q76" s="544"/>
      <c r="R76" s="434"/>
      <c r="S76" s="67"/>
      <c r="T76" s="67"/>
      <c r="U76" s="628"/>
      <c r="V76" s="642"/>
      <c r="W76" s="641"/>
      <c r="X76" s="625"/>
      <c r="Y76" s="454">
        <f>BOMA!D211</f>
        <v>7.49</v>
      </c>
      <c r="Z76" s="64">
        <f>BOMA!D212</f>
        <v>8.52</v>
      </c>
      <c r="AA76" s="66"/>
      <c r="AB76" s="66"/>
    </row>
    <row r="77" spans="1:37" s="70" customFormat="1" ht="9.5" customHeight="1" x14ac:dyDescent="0.4">
      <c r="B77" s="71"/>
      <c r="C77" s="72"/>
      <c r="D77" s="73"/>
      <c r="E77" s="118"/>
      <c r="F77" s="74"/>
      <c r="G77" s="71"/>
      <c r="H77" s="71"/>
      <c r="I77" s="71"/>
      <c r="J77" s="71"/>
      <c r="K77" s="71"/>
      <c r="L77" s="71"/>
      <c r="M77" s="71"/>
      <c r="N77" s="71"/>
      <c r="O77" s="130"/>
      <c r="P77" s="496"/>
      <c r="Q77" s="545"/>
      <c r="R77" s="539"/>
      <c r="S77" s="52"/>
      <c r="T77" s="52"/>
      <c r="U77" s="71"/>
      <c r="V77" s="58"/>
      <c r="W77" s="75"/>
      <c r="X77" s="76"/>
      <c r="Y77" s="53"/>
      <c r="Z77" s="53"/>
      <c r="AA77" s="53"/>
      <c r="AB77" s="53"/>
    </row>
    <row r="78" spans="1:37" ht="35.25" customHeight="1" x14ac:dyDescent="0.4">
      <c r="B78" s="628">
        <v>10</v>
      </c>
      <c r="C78" s="626">
        <f>BOMA!I201</f>
        <v>1488.3099082589724</v>
      </c>
      <c r="D78" s="631">
        <f>SUM(I79:O79)</f>
        <v>1488.32</v>
      </c>
      <c r="E78" s="629">
        <f>ROUND(C78-D78,1)</f>
        <v>0</v>
      </c>
      <c r="F78" s="640">
        <f ca="1">SumByColor(I79:O79,Legend!$C$2)</f>
        <v>536.31000000000006</v>
      </c>
      <c r="G78" s="625">
        <f t="shared" ref="G78:G92" ca="1" si="31">(F78/D78)*100%</f>
        <v>0.36034589335626754</v>
      </c>
      <c r="H78" s="77"/>
      <c r="I78" s="123" t="s">
        <v>349</v>
      </c>
      <c r="J78" s="123" t="s">
        <v>347</v>
      </c>
      <c r="K78" s="125" t="s">
        <v>324</v>
      </c>
      <c r="L78" s="125" t="s">
        <v>324</v>
      </c>
      <c r="M78" s="236" t="s">
        <v>335</v>
      </c>
      <c r="N78" s="259" t="s">
        <v>337</v>
      </c>
      <c r="O78" s="236" t="s">
        <v>338</v>
      </c>
      <c r="P78" s="497"/>
      <c r="Q78" s="546"/>
      <c r="R78" s="533"/>
      <c r="S78" s="52"/>
      <c r="T78" s="52"/>
      <c r="U78" s="628">
        <v>10</v>
      </c>
      <c r="V78" s="642">
        <f>SUM(Y79:AB79)</f>
        <v>38.739999999999995</v>
      </c>
      <c r="W78" s="640">
        <f ca="1">SumByColor(Y79:AB79,Legend!$C$2)</f>
        <v>0</v>
      </c>
      <c r="X78" s="625">
        <f t="shared" ref="X78:X92" ca="1" si="32">IF(V78&lt;&gt;0,(W78/V78)*100%,0)</f>
        <v>0</v>
      </c>
      <c r="Y78" s="455" t="s">
        <v>324</v>
      </c>
      <c r="Z78" s="113" t="s">
        <v>324</v>
      </c>
      <c r="AA78" s="113" t="s">
        <v>324</v>
      </c>
      <c r="AB78" s="113" t="s">
        <v>324</v>
      </c>
      <c r="AC78" s="28"/>
      <c r="AD78" s="28"/>
      <c r="AE78" s="28"/>
      <c r="AF78" s="28"/>
      <c r="AG78" s="28"/>
      <c r="AI78" s="28"/>
      <c r="AJ78" s="28"/>
      <c r="AK78" s="28"/>
    </row>
    <row r="79" spans="1:37" s="17" customFormat="1" ht="20.75" customHeight="1" x14ac:dyDescent="0.4">
      <c r="B79" s="628"/>
      <c r="C79" s="627"/>
      <c r="D79" s="632"/>
      <c r="E79" s="630"/>
      <c r="F79" s="641"/>
      <c r="G79" s="625"/>
      <c r="H79" s="477"/>
      <c r="I79" s="447">
        <v>287.33999999999997</v>
      </c>
      <c r="J79" s="127">
        <v>135.97999999999999</v>
      </c>
      <c r="K79" s="191">
        <v>135.99</v>
      </c>
      <c r="L79" s="127">
        <v>392.7</v>
      </c>
      <c r="M79" s="260">
        <v>136.03</v>
      </c>
      <c r="N79" s="261">
        <v>136.05000000000001</v>
      </c>
      <c r="O79" s="260">
        <v>264.23</v>
      </c>
      <c r="P79" s="498"/>
      <c r="Q79" s="547"/>
      <c r="R79" s="124"/>
      <c r="S79" s="67"/>
      <c r="T79" s="67"/>
      <c r="U79" s="628"/>
      <c r="V79" s="642"/>
      <c r="W79" s="641"/>
      <c r="X79" s="625"/>
      <c r="Y79" s="456">
        <f>BOMA!D195</f>
        <v>13.04</v>
      </c>
      <c r="Z79" s="63">
        <f>BOMA!D196</f>
        <v>9.6999999999999993</v>
      </c>
      <c r="AA79" s="63">
        <f>BOMA!D197</f>
        <v>8</v>
      </c>
      <c r="AB79" s="452">
        <f>BOMA!D198</f>
        <v>8</v>
      </c>
    </row>
    <row r="80" spans="1:37" ht="20.75" customHeight="1" x14ac:dyDescent="0.4">
      <c r="B80" s="628">
        <v>9</v>
      </c>
      <c r="C80" s="626">
        <f>BOMA!I185</f>
        <v>1505.1041860322284</v>
      </c>
      <c r="D80" s="631">
        <f t="shared" ref="D80:D92" si="33">SUM(I81:O81)</f>
        <v>1505.06</v>
      </c>
      <c r="E80" s="629">
        <f>ROUND(C80-D80,1)</f>
        <v>0</v>
      </c>
      <c r="F80" s="640">
        <f ca="1">SumByColor(I81:O81,Legend!$C$2)</f>
        <v>0</v>
      </c>
      <c r="G80" s="625">
        <f ca="1">(F80/D80)*100%</f>
        <v>0</v>
      </c>
      <c r="H80" s="478"/>
      <c r="I80" s="190" t="s">
        <v>232</v>
      </c>
      <c r="J80" s="224" t="s">
        <v>380</v>
      </c>
      <c r="K80" s="123" t="s">
        <v>331</v>
      </c>
      <c r="L80" s="633" t="s">
        <v>181</v>
      </c>
      <c r="M80" s="633"/>
      <c r="N80" s="633"/>
      <c r="O80" s="634"/>
      <c r="P80" s="487"/>
      <c r="Q80" s="548" t="s">
        <v>396</v>
      </c>
      <c r="R80" s="529"/>
      <c r="S80" s="52"/>
      <c r="T80" s="52"/>
      <c r="U80" s="628">
        <v>9</v>
      </c>
      <c r="V80" s="642">
        <f>SUM(Y81:AB81)</f>
        <v>27.909999999999997</v>
      </c>
      <c r="W80" s="640">
        <f ca="1">SumByColor(Y81:AB81,Legend!$C$2)</f>
        <v>0</v>
      </c>
      <c r="X80" s="625">
        <f t="shared" ca="1" si="32"/>
        <v>0</v>
      </c>
      <c r="Y80" s="457" t="s">
        <v>152</v>
      </c>
      <c r="Z80" s="109" t="s">
        <v>152</v>
      </c>
      <c r="AA80" s="110"/>
      <c r="AB80" s="110"/>
      <c r="AC80" s="28"/>
      <c r="AD80" s="28"/>
      <c r="AE80" s="28"/>
      <c r="AF80" s="28"/>
      <c r="AG80" s="28"/>
      <c r="AI80" s="28"/>
      <c r="AJ80" s="28"/>
      <c r="AK80" s="28"/>
    </row>
    <row r="81" spans="1:37" s="17" customFormat="1" ht="20.75" customHeight="1" x14ac:dyDescent="0.4">
      <c r="B81" s="628"/>
      <c r="C81" s="627"/>
      <c r="D81" s="632"/>
      <c r="E81" s="630"/>
      <c r="F81" s="641"/>
      <c r="G81" s="625"/>
      <c r="H81" s="478"/>
      <c r="I81" s="267"/>
      <c r="J81" s="268">
        <v>137.51</v>
      </c>
      <c r="K81" s="269">
        <v>137.53</v>
      </c>
      <c r="L81" s="663">
        <f>1263.02-33</f>
        <v>1230.02</v>
      </c>
      <c r="M81" s="663"/>
      <c r="N81" s="663"/>
      <c r="O81" s="664"/>
      <c r="P81" s="474"/>
      <c r="Q81" s="549">
        <v>4.7300000000000004</v>
      </c>
      <c r="R81" s="434"/>
      <c r="S81" s="67"/>
      <c r="T81" s="67"/>
      <c r="U81" s="628"/>
      <c r="V81" s="642"/>
      <c r="W81" s="641"/>
      <c r="X81" s="625"/>
      <c r="Y81" s="456">
        <f>BOMA!D182</f>
        <v>13.04</v>
      </c>
      <c r="Z81" s="63">
        <f>BOMA!D183</f>
        <v>14.87</v>
      </c>
      <c r="AA81" s="66"/>
      <c r="AB81" s="66"/>
    </row>
    <row r="82" spans="1:37" ht="20.75" customHeight="1" x14ac:dyDescent="0.4">
      <c r="B82" s="628">
        <v>8</v>
      </c>
      <c r="C82" s="626">
        <f>BOMA!I172</f>
        <v>1518.351827882</v>
      </c>
      <c r="D82" s="631">
        <f t="shared" si="33"/>
        <v>1518.35</v>
      </c>
      <c r="E82" s="629">
        <f>ROUND(C82-D82,1)</f>
        <v>0</v>
      </c>
      <c r="F82" s="640">
        <f ca="1">SumByColor(I83:O83,Legend!$C$2)</f>
        <v>0</v>
      </c>
      <c r="G82" s="625">
        <f t="shared" ca="1" si="31"/>
        <v>0</v>
      </c>
      <c r="H82" s="478"/>
      <c r="I82" s="649" t="s">
        <v>327</v>
      </c>
      <c r="J82" s="650"/>
      <c r="K82" s="650"/>
      <c r="L82" s="650"/>
      <c r="M82" s="650"/>
      <c r="N82" s="650"/>
      <c r="O82" s="651"/>
      <c r="P82" s="494"/>
      <c r="Q82" s="551" t="s">
        <v>327</v>
      </c>
      <c r="R82" s="129"/>
      <c r="S82" s="52"/>
      <c r="T82" s="52"/>
      <c r="U82" s="628">
        <v>8</v>
      </c>
      <c r="V82" s="642">
        <f>SUM(Y83:AB83)</f>
        <v>18.86</v>
      </c>
      <c r="W82" s="640">
        <f ca="1">SumByColor(Y83:AB83,Legend!$C$2)</f>
        <v>0</v>
      </c>
      <c r="X82" s="625">
        <f t="shared" ca="1" si="32"/>
        <v>0</v>
      </c>
      <c r="Y82" s="457" t="s">
        <v>327</v>
      </c>
      <c r="Z82" s="109" t="s">
        <v>327</v>
      </c>
      <c r="AA82" s="110"/>
      <c r="AB82" s="110"/>
      <c r="AC82" s="28"/>
      <c r="AD82" s="28"/>
      <c r="AE82" s="28"/>
      <c r="AF82" s="28"/>
      <c r="AG82" s="28"/>
      <c r="AI82" s="28"/>
      <c r="AJ82" s="28"/>
      <c r="AK82" s="28"/>
    </row>
    <row r="83" spans="1:37" s="17" customFormat="1" ht="20.75" customHeight="1" x14ac:dyDescent="0.4">
      <c r="B83" s="628"/>
      <c r="C83" s="627"/>
      <c r="D83" s="632"/>
      <c r="E83" s="630"/>
      <c r="F83" s="641"/>
      <c r="G83" s="625"/>
      <c r="H83" s="478"/>
      <c r="I83" s="644">
        <v>1518.35</v>
      </c>
      <c r="J83" s="645"/>
      <c r="K83" s="645"/>
      <c r="L83" s="645"/>
      <c r="M83" s="645"/>
      <c r="N83" s="645"/>
      <c r="O83" s="646"/>
      <c r="P83" s="495"/>
      <c r="Q83" s="549">
        <v>175</v>
      </c>
      <c r="R83" s="124"/>
      <c r="S83" s="67"/>
      <c r="T83" s="67"/>
      <c r="U83" s="628"/>
      <c r="V83" s="642"/>
      <c r="W83" s="641"/>
      <c r="X83" s="625"/>
      <c r="Y83" s="458">
        <v>9.43</v>
      </c>
      <c r="Z83" s="270">
        <v>9.43</v>
      </c>
      <c r="AA83" s="66"/>
      <c r="AB83" s="66"/>
    </row>
    <row r="84" spans="1:37" ht="20.75" customHeight="1" x14ac:dyDescent="0.4">
      <c r="B84" s="628">
        <v>7</v>
      </c>
      <c r="C84" s="626">
        <f>BOMA!I159</f>
        <v>1488.3066606621669</v>
      </c>
      <c r="D84" s="631">
        <f t="shared" si="33"/>
        <v>1488.33</v>
      </c>
      <c r="E84" s="629">
        <f>ROUND(C84-D84,1)</f>
        <v>0</v>
      </c>
      <c r="F84" s="640">
        <f ca="1">SumByColor(I85:O85,Legend!$C$2)</f>
        <v>0</v>
      </c>
      <c r="G84" s="625">
        <f t="shared" ca="1" si="31"/>
        <v>0</v>
      </c>
      <c r="H84" s="478"/>
      <c r="I84" s="476" t="s">
        <v>327</v>
      </c>
      <c r="J84" s="176" t="s">
        <v>328</v>
      </c>
      <c r="K84" s="176" t="s">
        <v>328</v>
      </c>
      <c r="L84" s="176" t="s">
        <v>328</v>
      </c>
      <c r="M84" s="176" t="s">
        <v>327</v>
      </c>
      <c r="N84" s="176" t="s">
        <v>327</v>
      </c>
      <c r="O84" s="173" t="s">
        <v>327</v>
      </c>
      <c r="P84" s="487"/>
      <c r="Q84" s="543" t="s">
        <v>327</v>
      </c>
      <c r="R84" s="38"/>
      <c r="S84" s="52"/>
      <c r="T84" s="52"/>
      <c r="U84" s="628">
        <v>7</v>
      </c>
      <c r="V84" s="642">
        <f>SUM(Y85:AB85)</f>
        <v>38.76</v>
      </c>
      <c r="W84" s="640">
        <f ca="1">SumByColor(Y85:AB85,Legend!$C$2)</f>
        <v>0</v>
      </c>
      <c r="X84" s="625">
        <f t="shared" ca="1" si="32"/>
        <v>0</v>
      </c>
      <c r="Y84" s="459" t="s">
        <v>327</v>
      </c>
      <c r="Z84" s="417" t="s">
        <v>525</v>
      </c>
      <c r="AA84" s="417" t="s">
        <v>327</v>
      </c>
      <c r="AB84" s="418" t="s">
        <v>526</v>
      </c>
      <c r="AC84" s="28"/>
      <c r="AD84" s="28"/>
      <c r="AE84" s="28"/>
      <c r="AF84" s="28"/>
      <c r="AG84" s="28"/>
      <c r="AI84" s="28"/>
      <c r="AJ84" s="28"/>
      <c r="AK84" s="28"/>
    </row>
    <row r="85" spans="1:37" s="17" customFormat="1" ht="20.75" customHeight="1" x14ac:dyDescent="0.4">
      <c r="B85" s="628"/>
      <c r="C85" s="627"/>
      <c r="D85" s="632"/>
      <c r="E85" s="630"/>
      <c r="F85" s="641"/>
      <c r="G85" s="625"/>
      <c r="H85" s="51"/>
      <c r="I85" s="223"/>
      <c r="J85" s="666">
        <v>705.52</v>
      </c>
      <c r="K85" s="667"/>
      <c r="L85" s="668"/>
      <c r="M85" s="666">
        <f>785.01-2.2</f>
        <v>782.81</v>
      </c>
      <c r="N85" s="667"/>
      <c r="O85" s="668"/>
      <c r="P85" s="474"/>
      <c r="Q85" s="549">
        <v>2.2000000000000002</v>
      </c>
      <c r="R85" s="434"/>
      <c r="S85" s="67"/>
      <c r="T85" s="67"/>
      <c r="U85" s="628"/>
      <c r="V85" s="642"/>
      <c r="W85" s="641"/>
      <c r="X85" s="625"/>
      <c r="Y85" s="460">
        <f>BOMA!D153</f>
        <v>13.04</v>
      </c>
      <c r="Z85" s="419">
        <f>BOMA!D154</f>
        <v>9.6999999999999993</v>
      </c>
      <c r="AA85" s="419">
        <f>BOMA!D155</f>
        <v>8.01</v>
      </c>
      <c r="AB85" s="420">
        <f>BOMA!D156</f>
        <v>8.01</v>
      </c>
    </row>
    <row r="86" spans="1:37" s="23" customFormat="1" ht="20.75" customHeight="1" x14ac:dyDescent="0.4">
      <c r="A86" s="61"/>
      <c r="B86" s="628">
        <v>6</v>
      </c>
      <c r="C86" s="626">
        <f>BOMA!I143</f>
        <v>1485.5836169760951</v>
      </c>
      <c r="D86" s="631">
        <f t="shared" si="33"/>
        <v>1485.5900000000001</v>
      </c>
      <c r="E86" s="629">
        <f>ROUND(C86-D86,1)</f>
        <v>0</v>
      </c>
      <c r="F86" s="640">
        <f ca="1">SumByColor(I87:O87,Legend!$C$2)</f>
        <v>0</v>
      </c>
      <c r="G86" s="625">
        <f t="shared" ca="1" si="31"/>
        <v>0</v>
      </c>
      <c r="H86" s="51"/>
      <c r="I86" s="643" t="s">
        <v>167</v>
      </c>
      <c r="J86" s="634"/>
      <c r="K86" s="643" t="s">
        <v>168</v>
      </c>
      <c r="L86" s="633"/>
      <c r="M86" s="633"/>
      <c r="N86" s="633"/>
      <c r="O86" s="634"/>
      <c r="P86" s="487"/>
      <c r="Q86" s="543"/>
      <c r="R86" s="38"/>
      <c r="S86" s="52"/>
      <c r="T86" s="52"/>
      <c r="U86" s="628">
        <v>6</v>
      </c>
      <c r="V86" s="642">
        <f>SUM(Y87:AB87)</f>
        <v>43.910000000000004</v>
      </c>
      <c r="W86" s="640">
        <f ca="1">SumByColor(Y87:AB87,Legend!$C$2)</f>
        <v>0</v>
      </c>
      <c r="X86" s="625">
        <f t="shared" ca="1" si="32"/>
        <v>0</v>
      </c>
      <c r="Y86" s="461" t="s">
        <v>153</v>
      </c>
      <c r="Z86" s="413" t="s">
        <v>153</v>
      </c>
      <c r="AA86" s="413" t="s">
        <v>153</v>
      </c>
      <c r="AB86" s="414" t="s">
        <v>153</v>
      </c>
    </row>
    <row r="87" spans="1:37" s="17" customFormat="1" ht="20.75" customHeight="1" x14ac:dyDescent="0.4">
      <c r="B87" s="628"/>
      <c r="C87" s="627"/>
      <c r="D87" s="632"/>
      <c r="E87" s="630"/>
      <c r="F87" s="641"/>
      <c r="G87" s="625"/>
      <c r="H87" s="51"/>
      <c r="I87" s="689">
        <v>547</v>
      </c>
      <c r="J87" s="691"/>
      <c r="K87" s="644">
        <v>938.59</v>
      </c>
      <c r="L87" s="645"/>
      <c r="M87" s="645"/>
      <c r="N87" s="645"/>
      <c r="O87" s="646"/>
      <c r="P87" s="474"/>
      <c r="Q87" s="549"/>
      <c r="R87" s="434"/>
      <c r="S87" s="67"/>
      <c r="T87" s="67"/>
      <c r="U87" s="628"/>
      <c r="V87" s="642"/>
      <c r="W87" s="641"/>
      <c r="X87" s="625"/>
      <c r="Y87" s="462">
        <f>BOMA!D138</f>
        <v>13.04</v>
      </c>
      <c r="Z87" s="415">
        <f>BOMA!D139</f>
        <v>14.88</v>
      </c>
      <c r="AA87" s="415">
        <f>BOMA!D140</f>
        <v>7.99</v>
      </c>
      <c r="AB87" s="416">
        <f>BOMA!D141</f>
        <v>8</v>
      </c>
    </row>
    <row r="88" spans="1:37" ht="20.75" customHeight="1" x14ac:dyDescent="0.4">
      <c r="B88" s="628">
        <v>5</v>
      </c>
      <c r="C88" s="626">
        <f>BOMA!I128</f>
        <v>1505.1009009672962</v>
      </c>
      <c r="D88" s="631">
        <f t="shared" si="33"/>
        <v>1505.1</v>
      </c>
      <c r="E88" s="629">
        <f>ROUND(C88-D88,1)</f>
        <v>0</v>
      </c>
      <c r="F88" s="640">
        <f ca="1">SumByColor(I89:O89,Legend!$C$2)</f>
        <v>0</v>
      </c>
      <c r="G88" s="625">
        <f t="shared" ca="1" si="31"/>
        <v>0</v>
      </c>
      <c r="H88" s="51"/>
      <c r="I88" s="643" t="s">
        <v>168</v>
      </c>
      <c r="J88" s="633"/>
      <c r="K88" s="633"/>
      <c r="L88" s="633"/>
      <c r="M88" s="633"/>
      <c r="N88" s="633"/>
      <c r="O88" s="634"/>
      <c r="P88" s="487"/>
      <c r="Q88" s="543"/>
      <c r="R88" s="38"/>
      <c r="S88" s="52"/>
      <c r="T88" s="52"/>
      <c r="U88" s="628">
        <v>5</v>
      </c>
      <c r="V88" s="642">
        <f>SUM(Y89:AB89)</f>
        <v>27.93</v>
      </c>
      <c r="W88" s="640">
        <f ca="1">SumByColor(Y89:AB89,Legend!$C$2)</f>
        <v>0</v>
      </c>
      <c r="X88" s="625">
        <f t="shared" ca="1" si="32"/>
        <v>0</v>
      </c>
      <c r="Y88" s="461" t="s">
        <v>153</v>
      </c>
      <c r="Z88" s="413" t="s">
        <v>153</v>
      </c>
      <c r="AA88" s="110"/>
      <c r="AB88" s="110"/>
      <c r="AC88" s="566"/>
      <c r="AD88" s="567"/>
      <c r="AE88" s="568"/>
      <c r="AF88" s="28"/>
      <c r="AG88" s="28"/>
      <c r="AI88" s="28"/>
      <c r="AJ88" s="28"/>
      <c r="AK88" s="28"/>
    </row>
    <row r="89" spans="1:37" s="17" customFormat="1" ht="20.75" customHeight="1" x14ac:dyDescent="0.4">
      <c r="B89" s="628"/>
      <c r="C89" s="627"/>
      <c r="D89" s="632"/>
      <c r="E89" s="630"/>
      <c r="F89" s="641"/>
      <c r="G89" s="625"/>
      <c r="H89" s="51"/>
      <c r="I89" s="644">
        <v>1505.1</v>
      </c>
      <c r="J89" s="645"/>
      <c r="K89" s="645"/>
      <c r="L89" s="645"/>
      <c r="M89" s="645"/>
      <c r="N89" s="645"/>
      <c r="O89" s="646"/>
      <c r="P89" s="474"/>
      <c r="Q89" s="549"/>
      <c r="R89" s="434"/>
      <c r="S89" s="67"/>
      <c r="T89" s="67"/>
      <c r="U89" s="628"/>
      <c r="V89" s="642"/>
      <c r="W89" s="641"/>
      <c r="X89" s="625"/>
      <c r="Y89" s="462">
        <f>BOMA!D125</f>
        <v>13.05</v>
      </c>
      <c r="Z89" s="415">
        <f>BOMA!D126</f>
        <v>14.88</v>
      </c>
      <c r="AA89" s="66"/>
      <c r="AB89" s="66"/>
      <c r="AC89" s="67"/>
      <c r="AD89" s="28"/>
      <c r="AE89" s="28"/>
    </row>
    <row r="90" spans="1:37" ht="20.75" customHeight="1" x14ac:dyDescent="0.4">
      <c r="B90" s="628">
        <v>3</v>
      </c>
      <c r="C90" s="626">
        <f>BOMA!I115</f>
        <v>1422.3688039525493</v>
      </c>
      <c r="D90" s="631">
        <f t="shared" si="33"/>
        <v>1422.37</v>
      </c>
      <c r="E90" s="629">
        <f>ROUND(C90-D90,1)</f>
        <v>0</v>
      </c>
      <c r="F90" s="640">
        <f ca="1">SumByColor(I91:O91,Legend!$C$2)</f>
        <v>0</v>
      </c>
      <c r="G90" s="625">
        <f t="shared" ca="1" si="31"/>
        <v>0</v>
      </c>
      <c r="H90" s="51"/>
      <c r="I90" s="649" t="s">
        <v>169</v>
      </c>
      <c r="J90" s="650"/>
      <c r="K90" s="650"/>
      <c r="L90" s="651"/>
      <c r="M90" s="649" t="s">
        <v>170</v>
      </c>
      <c r="N90" s="650"/>
      <c r="O90" s="651"/>
      <c r="P90" s="474"/>
      <c r="Q90" s="551"/>
      <c r="R90" s="434"/>
      <c r="S90" s="52"/>
      <c r="T90" s="52"/>
      <c r="U90" s="628">
        <v>3</v>
      </c>
      <c r="V90" s="642">
        <f>SUM(Y91:AB91)</f>
        <v>15.81</v>
      </c>
      <c r="W90" s="640">
        <f ca="1">SumByColor(Y91:AB91,Legend!$C$2)</f>
        <v>0</v>
      </c>
      <c r="X90" s="625">
        <f t="shared" ca="1" si="32"/>
        <v>0</v>
      </c>
      <c r="Y90" s="457" t="s">
        <v>324</v>
      </c>
      <c r="Z90" s="109" t="s">
        <v>324</v>
      </c>
      <c r="AA90" s="110"/>
      <c r="AB90" s="110"/>
      <c r="AC90" s="28"/>
      <c r="AD90" s="28"/>
      <c r="AE90" s="28"/>
      <c r="AF90" s="28"/>
      <c r="AG90" s="28"/>
      <c r="AI90" s="28"/>
      <c r="AJ90" s="28"/>
      <c r="AK90" s="28"/>
    </row>
    <row r="91" spans="1:37" s="17" customFormat="1" ht="20.75" customHeight="1" x14ac:dyDescent="0.4">
      <c r="B91" s="628"/>
      <c r="C91" s="627"/>
      <c r="D91" s="632"/>
      <c r="E91" s="630"/>
      <c r="F91" s="641"/>
      <c r="G91" s="625"/>
      <c r="H91" s="51"/>
      <c r="I91" s="644">
        <v>247.76</v>
      </c>
      <c r="J91" s="645"/>
      <c r="K91" s="645"/>
      <c r="L91" s="646"/>
      <c r="M91" s="703">
        <v>1174.6099999999999</v>
      </c>
      <c r="N91" s="645"/>
      <c r="O91" s="646"/>
      <c r="P91" s="474"/>
      <c r="Q91" s="549"/>
      <c r="R91" s="434"/>
      <c r="S91" s="67"/>
      <c r="T91" s="67"/>
      <c r="U91" s="628"/>
      <c r="V91" s="642"/>
      <c r="W91" s="641"/>
      <c r="X91" s="625"/>
      <c r="Y91" s="456">
        <f>BOMA!D112</f>
        <v>7.91</v>
      </c>
      <c r="Z91" s="63">
        <f>BOMA!D113</f>
        <v>7.9</v>
      </c>
      <c r="AA91" s="66"/>
      <c r="AB91" s="66"/>
    </row>
    <row r="92" spans="1:37" s="17" customFormat="1" ht="20.75" customHeight="1" x14ac:dyDescent="0.4">
      <c r="B92" s="638" t="s">
        <v>114</v>
      </c>
      <c r="C92" s="626">
        <f>SUM(BOMA!D68:D71)</f>
        <v>1297.8499999999999</v>
      </c>
      <c r="D92" s="631">
        <f t="shared" si="33"/>
        <v>1297.8499999999999</v>
      </c>
      <c r="E92" s="629">
        <f>ROUND(C92-D92,1)</f>
        <v>0</v>
      </c>
      <c r="F92" s="640">
        <f ca="1">SumByColor(I93:O93,Legend!$C$2)</f>
        <v>0</v>
      </c>
      <c r="G92" s="625">
        <f t="shared" ca="1" si="31"/>
        <v>0</v>
      </c>
      <c r="H92" s="51"/>
      <c r="I92" s="128" t="s">
        <v>222</v>
      </c>
      <c r="J92" s="128" t="s">
        <v>171</v>
      </c>
      <c r="K92" s="128" t="s">
        <v>172</v>
      </c>
      <c r="L92" s="128" t="s">
        <v>173</v>
      </c>
      <c r="M92" s="83"/>
      <c r="N92" s="76"/>
      <c r="O92" s="76"/>
      <c r="P92" s="474"/>
      <c r="Q92" s="549"/>
      <c r="R92" s="434"/>
      <c r="S92" s="67"/>
      <c r="T92" s="67"/>
      <c r="U92" s="638" t="s">
        <v>114</v>
      </c>
      <c r="V92" s="642">
        <f>SUM(Y93:AB93)</f>
        <v>9.1</v>
      </c>
      <c r="W92" s="640">
        <f ca="1">SumByColor(Y93:AB93,Legend!$C$2)</f>
        <v>0</v>
      </c>
      <c r="X92" s="625">
        <f t="shared" ca="1" si="32"/>
        <v>0</v>
      </c>
      <c r="Y92" s="457" t="s">
        <v>324</v>
      </c>
      <c r="Z92" s="109" t="s">
        <v>324</v>
      </c>
      <c r="AA92" s="66"/>
      <c r="AB92" s="66"/>
    </row>
    <row r="93" spans="1:37" s="17" customFormat="1" ht="20.75" customHeight="1" x14ac:dyDescent="0.4">
      <c r="B93" s="639"/>
      <c r="C93" s="627"/>
      <c r="D93" s="632"/>
      <c r="E93" s="630"/>
      <c r="F93" s="641"/>
      <c r="G93" s="625"/>
      <c r="H93" s="51"/>
      <c r="I93" s="122">
        <f>BOMA!D68</f>
        <v>453.65</v>
      </c>
      <c r="J93" s="122">
        <f>BOMA!D69</f>
        <v>70</v>
      </c>
      <c r="K93" s="122">
        <f>BOMA!D70</f>
        <v>134.37</v>
      </c>
      <c r="L93" s="122">
        <f>BOMA!D71</f>
        <v>639.83000000000004</v>
      </c>
      <c r="M93" s="83"/>
      <c r="N93" s="76"/>
      <c r="O93" s="76"/>
      <c r="P93" s="474"/>
      <c r="Q93" s="469"/>
      <c r="R93" s="434"/>
      <c r="S93" s="67"/>
      <c r="T93" s="67"/>
      <c r="U93" s="639"/>
      <c r="V93" s="642"/>
      <c r="W93" s="641"/>
      <c r="X93" s="625"/>
      <c r="Y93" s="456">
        <f>BOMA!D73</f>
        <v>7.3</v>
      </c>
      <c r="Z93" s="63">
        <f>BOMA!D74</f>
        <v>1.8</v>
      </c>
      <c r="AA93" s="66"/>
      <c r="AB93" s="66"/>
    </row>
    <row r="94" spans="1:37" s="17" customFormat="1" ht="28.5" customHeight="1" x14ac:dyDescent="0.4">
      <c r="B94" s="16" t="s">
        <v>16</v>
      </c>
      <c r="C94" s="79">
        <f>SUM(C7:C93)</f>
        <v>60456.562713361011</v>
      </c>
      <c r="D94" s="80">
        <f>SUM(D7:D93)</f>
        <v>60456.682860379246</v>
      </c>
      <c r="E94" s="80">
        <f>SUM(E7:E93)</f>
        <v>0</v>
      </c>
      <c r="F94" s="80">
        <f ca="1">SUM(F7:F93)</f>
        <v>11761.229999999998</v>
      </c>
      <c r="G94" s="81">
        <f ca="1">F94/D94</f>
        <v>0.19453978358623791</v>
      </c>
      <c r="H94" s="82"/>
      <c r="I94" s="711"/>
      <c r="J94" s="711"/>
      <c r="K94" s="711"/>
      <c r="L94" s="711"/>
      <c r="M94" s="711"/>
      <c r="N94" s="711"/>
      <c r="O94" s="711"/>
      <c r="P94" s="474"/>
      <c r="Q94" s="470" t="s">
        <v>580</v>
      </c>
      <c r="R94" s="434"/>
      <c r="S94" s="28"/>
      <c r="T94" s="425"/>
      <c r="U94" s="672" t="s">
        <v>6</v>
      </c>
      <c r="V94" s="578" t="s">
        <v>155</v>
      </c>
      <c r="W94" s="658" t="s">
        <v>158</v>
      </c>
      <c r="X94" s="660"/>
      <c r="Y94" s="714" t="s">
        <v>593</v>
      </c>
      <c r="Z94" s="715"/>
      <c r="AA94" s="715"/>
      <c r="AB94" s="715"/>
      <c r="AC94" s="715"/>
      <c r="AD94" s="715"/>
      <c r="AE94" s="716"/>
    </row>
    <row r="95" spans="1:37" s="17" customFormat="1" ht="28.5" customHeight="1" x14ac:dyDescent="0.4">
      <c r="B95" s="425"/>
      <c r="C95" s="426"/>
      <c r="D95" s="427"/>
      <c r="E95" s="427"/>
      <c r="F95" s="427"/>
      <c r="G95" s="428"/>
      <c r="H95" s="428"/>
      <c r="I95" s="76"/>
      <c r="J95" s="76"/>
      <c r="K95" s="76"/>
      <c r="L95" s="76"/>
      <c r="M95" s="76"/>
      <c r="N95" s="76"/>
      <c r="O95" s="76"/>
      <c r="P95" s="499"/>
      <c r="Q95" s="500">
        <f>SUM(Q85,Q81,Q70,Q58,Q52,Q50,Q47,Q45,Q43,Q41,Q39,Q37,Q35,Q33,Q31,Q29,Q27,Q25,Q23,Q21,Q19)</f>
        <v>279.79000000000002</v>
      </c>
      <c r="R95" s="440"/>
      <c r="S95" s="536"/>
      <c r="T95" s="425"/>
      <c r="U95" s="672"/>
      <c r="V95" s="40" t="s">
        <v>159</v>
      </c>
      <c r="W95" s="40" t="s">
        <v>159</v>
      </c>
      <c r="X95" s="46" t="s">
        <v>24</v>
      </c>
      <c r="Y95" s="580" t="s">
        <v>518</v>
      </c>
      <c r="Z95" s="580" t="s">
        <v>519</v>
      </c>
      <c r="AA95" s="580" t="s">
        <v>520</v>
      </c>
      <c r="AB95" s="580" t="s">
        <v>521</v>
      </c>
      <c r="AC95" s="581" t="s">
        <v>522</v>
      </c>
      <c r="AD95" s="582" t="s">
        <v>523</v>
      </c>
      <c r="AE95" s="579" t="s">
        <v>524</v>
      </c>
      <c r="AF95" s="430"/>
      <c r="AG95" s="82"/>
      <c r="AH95" s="28"/>
      <c r="AI95" s="28"/>
      <c r="AJ95" s="28"/>
    </row>
    <row r="96" spans="1:37" s="17" customFormat="1" ht="28.5" customHeight="1" x14ac:dyDescent="0.65">
      <c r="B96" s="502" t="s">
        <v>586</v>
      </c>
      <c r="C96" s="426"/>
      <c r="D96" s="430"/>
      <c r="E96" s="430"/>
      <c r="F96" s="430"/>
      <c r="G96" s="428"/>
      <c r="H96" s="428"/>
      <c r="I96" s="76"/>
      <c r="J96" s="76"/>
      <c r="K96" s="76"/>
      <c r="L96" s="76"/>
      <c r="M96" s="76"/>
      <c r="N96" s="76"/>
      <c r="O96" s="76"/>
      <c r="P96" s="76"/>
      <c r="Q96" s="429"/>
      <c r="R96" s="30"/>
      <c r="S96" s="425"/>
      <c r="T96" s="38"/>
      <c r="U96" s="628">
        <v>2</v>
      </c>
      <c r="V96" s="642">
        <f>SUM(Y97:AF97)</f>
        <v>62.27</v>
      </c>
      <c r="W96" s="640">
        <f ca="1">SumByColor(Y97:AF97,Legend!$C$2)</f>
        <v>12.71</v>
      </c>
      <c r="X96" s="625">
        <f t="shared" ref="X96" ca="1" si="34">IF(V96&lt;&gt;0,(W96/V96)*100%,0)</f>
        <v>0.20411112895455275</v>
      </c>
      <c r="Y96" s="455" t="s">
        <v>472</v>
      </c>
      <c r="Z96" s="113" t="s">
        <v>472</v>
      </c>
      <c r="AA96" s="437" t="s">
        <v>560</v>
      </c>
      <c r="AB96" s="437" t="s">
        <v>560</v>
      </c>
      <c r="AC96" s="441"/>
      <c r="AD96" s="449"/>
      <c r="AE96" s="449"/>
      <c r="AF96" s="430"/>
      <c r="AG96" s="82"/>
      <c r="AH96" s="28"/>
      <c r="AI96" s="28"/>
      <c r="AJ96" s="28"/>
    </row>
    <row r="97" spans="1:38" s="17" customFormat="1" ht="39.75" customHeight="1" x14ac:dyDescent="0.4">
      <c r="B97" s="672" t="s">
        <v>6</v>
      </c>
      <c r="C97" s="676" t="s">
        <v>557</v>
      </c>
      <c r="D97" s="36" t="s">
        <v>558</v>
      </c>
      <c r="E97" s="116" t="s">
        <v>174</v>
      </c>
      <c r="F97" s="674" t="s">
        <v>556</v>
      </c>
      <c r="G97" s="675"/>
      <c r="H97" s="37"/>
      <c r="I97" s="672" t="s">
        <v>555</v>
      </c>
      <c r="J97" s="672"/>
      <c r="K97" s="673"/>
      <c r="L97" s="673"/>
      <c r="M97" s="673"/>
      <c r="N97" s="672"/>
      <c r="O97" s="672"/>
      <c r="P97" s="38"/>
      <c r="Q97" s="38"/>
      <c r="R97" s="38"/>
      <c r="S97" s="38"/>
      <c r="T97" s="38"/>
      <c r="U97" s="628"/>
      <c r="V97" s="642"/>
      <c r="W97" s="641"/>
      <c r="X97" s="625"/>
      <c r="Y97" s="63">
        <f>BOMA!D100</f>
        <v>28.21</v>
      </c>
      <c r="Z97" s="63">
        <f>BOMA!D99</f>
        <v>21.35</v>
      </c>
      <c r="AA97" s="438">
        <f>BOMA!D101</f>
        <v>10.71</v>
      </c>
      <c r="AB97" s="438">
        <f>BOMA!D102</f>
        <v>2</v>
      </c>
      <c r="AC97" s="571"/>
      <c r="AD97" s="449"/>
      <c r="AE97" s="449"/>
      <c r="AF97" s="577"/>
      <c r="AG97" s="23"/>
      <c r="AH97" s="572"/>
      <c r="AI97" s="706"/>
      <c r="AJ97" s="706"/>
    </row>
    <row r="98" spans="1:38" s="17" customFormat="1" ht="28.5" customHeight="1" x14ac:dyDescent="0.4">
      <c r="B98" s="672"/>
      <c r="C98" s="677"/>
      <c r="D98" s="41" t="s">
        <v>159</v>
      </c>
      <c r="E98" s="41" t="s">
        <v>159</v>
      </c>
      <c r="F98" s="42" t="s">
        <v>159</v>
      </c>
      <c r="G98" s="42" t="s">
        <v>24</v>
      </c>
      <c r="H98" s="37"/>
      <c r="I98" s="43" t="s">
        <v>7</v>
      </c>
      <c r="J98" s="43" t="s">
        <v>8</v>
      </c>
      <c r="K98" s="43" t="s">
        <v>9</v>
      </c>
      <c r="L98" s="43" t="s">
        <v>10</v>
      </c>
      <c r="M98" s="43" t="s">
        <v>11</v>
      </c>
      <c r="N98" s="43" t="s">
        <v>12</v>
      </c>
      <c r="O98" s="43" t="s">
        <v>13</v>
      </c>
      <c r="P98" s="38"/>
      <c r="Q98" s="38"/>
      <c r="R98" s="38"/>
      <c r="S98" s="38"/>
      <c r="T98" s="529"/>
      <c r="U98" s="723" t="s">
        <v>109</v>
      </c>
      <c r="V98" s="642">
        <f>SUM(Y99:AF99)</f>
        <v>12.71</v>
      </c>
      <c r="W98" s="640">
        <f ca="1">SumByColor(Y99:AF99,Legend!$C$2)</f>
        <v>0</v>
      </c>
      <c r="X98" s="721">
        <f t="shared" ref="X98" ca="1" si="35">IF(V98&lt;&gt;0,(W98/V98)*100%,0)</f>
        <v>0</v>
      </c>
      <c r="Y98" s="109"/>
      <c r="Z98" s="109" t="s">
        <v>324</v>
      </c>
      <c r="AA98" s="110"/>
      <c r="AB98" s="110"/>
      <c r="AC98" s="52"/>
      <c r="AD98" s="28"/>
      <c r="AE98" s="28"/>
      <c r="AG98" s="23"/>
      <c r="AH98" s="572"/>
      <c r="AI98" s="572"/>
      <c r="AJ98" s="434"/>
    </row>
    <row r="99" spans="1:38" ht="20.75" customHeight="1" x14ac:dyDescent="0.4">
      <c r="B99" s="628">
        <v>2</v>
      </c>
      <c r="C99" s="626">
        <f>BOMA!I105</f>
        <v>742.57999999999993</v>
      </c>
      <c r="D99" s="631">
        <f>SUM(I100:O100)</f>
        <v>800.68999999999994</v>
      </c>
      <c r="E99" s="629">
        <f>ROUND(C99-D99,1)</f>
        <v>-58.1</v>
      </c>
      <c r="F99" s="640">
        <f ca="1">SumByColor(I100:O100,Legend!$C$2)</f>
        <v>0</v>
      </c>
      <c r="G99" s="625">
        <f t="shared" ref="G99" ca="1" si="36">(F99/D99)*100%</f>
        <v>0</v>
      </c>
      <c r="H99" s="77"/>
      <c r="I99" s="123" t="s">
        <v>553</v>
      </c>
      <c r="J99" s="123" t="s">
        <v>463</v>
      </c>
      <c r="K99" s="125" t="s">
        <v>584</v>
      </c>
      <c r="L99" s="125" t="s">
        <v>585</v>
      </c>
      <c r="M99" s="517"/>
      <c r="N99" s="519"/>
      <c r="O99" s="519"/>
      <c r="P99" s="529"/>
      <c r="Q99" s="529"/>
      <c r="R99" s="529"/>
      <c r="S99" s="529"/>
      <c r="T99" s="521"/>
      <c r="U99" s="725"/>
      <c r="V99" s="642"/>
      <c r="W99" s="641"/>
      <c r="X99" s="722"/>
      <c r="Y99" s="270">
        <f>BOMA!D88</f>
        <v>10.71</v>
      </c>
      <c r="Z99" s="270">
        <f>BOMA!D89</f>
        <v>2</v>
      </c>
      <c r="AA99" s="66"/>
      <c r="AB99" s="66"/>
      <c r="AC99" s="67"/>
      <c r="AD99" s="17"/>
      <c r="AE99" s="17"/>
      <c r="AF99" s="28"/>
      <c r="AG99" s="28"/>
      <c r="AH99" s="707"/>
      <c r="AI99" s="708"/>
      <c r="AJ99" s="709"/>
      <c r="AK99" s="28"/>
    </row>
    <row r="100" spans="1:38" s="17" customFormat="1" ht="20.75" customHeight="1" x14ac:dyDescent="0.4">
      <c r="B100" s="628"/>
      <c r="C100" s="627"/>
      <c r="D100" s="632"/>
      <c r="E100" s="630"/>
      <c r="F100" s="641"/>
      <c r="G100" s="625"/>
      <c r="H100" s="77"/>
      <c r="I100" s="127">
        <v>230.81</v>
      </c>
      <c r="J100" s="127">
        <v>399</v>
      </c>
      <c r="K100" s="191">
        <v>145.78</v>
      </c>
      <c r="L100" s="191">
        <v>25.1</v>
      </c>
      <c r="M100" s="518"/>
      <c r="N100" s="520"/>
      <c r="O100" s="521"/>
      <c r="P100" s="521"/>
      <c r="Q100" s="521"/>
      <c r="R100" s="521"/>
      <c r="S100" s="521"/>
      <c r="T100" s="530"/>
      <c r="U100" s="723" t="s">
        <v>583</v>
      </c>
      <c r="V100" s="642">
        <f t="shared" ref="V100" si="37">SUM(Y101:AF101)</f>
        <v>0</v>
      </c>
      <c r="W100" s="640">
        <f ca="1">SumByColor(Y101:AF101,Legend!$C$2)</f>
        <v>0</v>
      </c>
      <c r="X100" s="625">
        <f t="shared" ref="X100" si="38">IF(V100&lt;&gt;0,(W100/V100)*100%,0)</f>
        <v>0</v>
      </c>
      <c r="Y100" s="110"/>
      <c r="Z100" s="110"/>
      <c r="AA100" s="110"/>
      <c r="AB100" s="110"/>
      <c r="AC100" s="52"/>
      <c r="AD100" s="28"/>
      <c r="AE100" s="28"/>
      <c r="AG100" s="28"/>
      <c r="AH100" s="707"/>
      <c r="AI100" s="710"/>
      <c r="AJ100" s="709"/>
    </row>
    <row r="101" spans="1:38" ht="20.75" customHeight="1" x14ac:dyDescent="0.4">
      <c r="B101" s="723" t="s">
        <v>109</v>
      </c>
      <c r="C101" s="626">
        <f>BOMA!I91+BOMA!J91</f>
        <v>627.84000000000015</v>
      </c>
      <c r="D101" s="631">
        <f>SUM(I102:O103)</f>
        <v>572.9799999999999</v>
      </c>
      <c r="E101" s="629">
        <f>ROUND(C101-D101,1)</f>
        <v>54.9</v>
      </c>
      <c r="F101" s="640">
        <f ca="1">SumByColor(I102:O103,Legend!$C$2)</f>
        <v>82.74</v>
      </c>
      <c r="G101" s="721">
        <f ca="1">(F101/D101)*100%</f>
        <v>0.14440294600160566</v>
      </c>
      <c r="H101" s="51"/>
      <c r="I101" s="224" t="s">
        <v>544</v>
      </c>
      <c r="J101" s="224" t="s">
        <v>545</v>
      </c>
      <c r="K101" s="259" t="s">
        <v>154</v>
      </c>
      <c r="L101" s="123" t="s">
        <v>546</v>
      </c>
      <c r="M101" s="123" t="s">
        <v>547</v>
      </c>
      <c r="N101" s="231" t="s">
        <v>548</v>
      </c>
      <c r="O101" s="55"/>
      <c r="P101" s="530"/>
      <c r="Q101" s="530"/>
      <c r="R101" s="530"/>
      <c r="S101" s="530"/>
      <c r="T101" s="507"/>
      <c r="U101" s="725"/>
      <c r="V101" s="642"/>
      <c r="W101" s="641"/>
      <c r="X101" s="625"/>
      <c r="Y101" s="67"/>
      <c r="Z101" s="67"/>
      <c r="AA101" s="66"/>
      <c r="AB101" s="66"/>
      <c r="AC101" s="67"/>
      <c r="AD101" s="17"/>
      <c r="AE101" s="17"/>
      <c r="AF101" s="28"/>
      <c r="AG101" s="28"/>
      <c r="AH101" s="707"/>
      <c r="AI101" s="708"/>
      <c r="AJ101" s="709"/>
      <c r="AK101" s="28"/>
    </row>
    <row r="102" spans="1:38" s="17" customFormat="1" ht="20.75" customHeight="1" x14ac:dyDescent="0.4">
      <c r="B102" s="724"/>
      <c r="C102" s="627"/>
      <c r="D102" s="726"/>
      <c r="E102" s="630"/>
      <c r="F102" s="727"/>
      <c r="G102" s="729"/>
      <c r="H102" s="51"/>
      <c r="I102" s="269">
        <v>80.819999999999993</v>
      </c>
      <c r="J102" s="268">
        <v>103.16</v>
      </c>
      <c r="K102" s="243">
        <v>82.74</v>
      </c>
      <c r="L102" s="269">
        <v>152.08000000000001</v>
      </c>
      <c r="M102" s="122">
        <v>28.21</v>
      </c>
      <c r="N102" s="122">
        <v>28.21</v>
      </c>
      <c r="O102" s="422"/>
      <c r="P102" s="507"/>
      <c r="Q102" s="507"/>
      <c r="R102" s="507"/>
      <c r="S102" s="507"/>
      <c r="T102" s="507"/>
      <c r="U102" s="628" t="s">
        <v>4</v>
      </c>
      <c r="V102" s="642">
        <f t="shared" ref="V102" si="39">SUM(Y103:AF103)</f>
        <v>117.65</v>
      </c>
      <c r="W102" s="640">
        <f ca="1">SumByColor(Y103:AF103,Legend!$C$2)</f>
        <v>0</v>
      </c>
      <c r="X102" s="721">
        <f t="shared" ref="X102" ca="1" si="40">IF(V102&lt;&gt;0,(W102/V102)*100%,0)</f>
        <v>0</v>
      </c>
      <c r="Y102" s="431" t="s">
        <v>472</v>
      </c>
      <c r="Z102" s="110"/>
      <c r="AA102" s="110"/>
      <c r="AB102" s="110"/>
      <c r="AC102" s="52"/>
      <c r="AD102" s="23"/>
      <c r="AE102" s="23"/>
      <c r="AG102" s="28"/>
      <c r="AH102" s="707"/>
      <c r="AI102" s="710"/>
      <c r="AJ102" s="709"/>
    </row>
    <row r="103" spans="1:38" s="17" customFormat="1" ht="20.75" customHeight="1" x14ac:dyDescent="0.4">
      <c r="B103" s="725"/>
      <c r="C103" s="444"/>
      <c r="D103" s="632"/>
      <c r="E103" s="445"/>
      <c r="F103" s="728"/>
      <c r="G103" s="722"/>
      <c r="H103" s="51"/>
      <c r="I103" s="122"/>
      <c r="J103" s="268">
        <v>30</v>
      </c>
      <c r="K103" s="235"/>
      <c r="L103" s="122">
        <v>67.760000000000005</v>
      </c>
      <c r="M103" s="503"/>
      <c r="N103" s="506"/>
      <c r="O103" s="507"/>
      <c r="P103" s="507"/>
      <c r="Q103" s="507"/>
      <c r="R103" s="507"/>
      <c r="S103" s="507"/>
      <c r="T103" s="508"/>
      <c r="U103" s="628"/>
      <c r="V103" s="642"/>
      <c r="W103" s="641"/>
      <c r="X103" s="722"/>
      <c r="Y103" s="63">
        <v>117.65</v>
      </c>
      <c r="Z103" s="67"/>
      <c r="AA103" s="67"/>
      <c r="AB103" s="67"/>
      <c r="AC103" s="67"/>
      <c r="AD103" s="20"/>
      <c r="AE103" s="35"/>
      <c r="AF103" s="28"/>
      <c r="AG103" s="28"/>
      <c r="AH103" s="707"/>
      <c r="AI103" s="708"/>
      <c r="AJ103" s="709"/>
    </row>
    <row r="104" spans="1:38" ht="20.75" customHeight="1" x14ac:dyDescent="0.4">
      <c r="B104" s="723" t="s">
        <v>109</v>
      </c>
      <c r="C104" s="509"/>
      <c r="D104" s="631">
        <f>SUM(I105:O105)</f>
        <v>544.88</v>
      </c>
      <c r="E104" s="119"/>
      <c r="F104" s="640">
        <f ca="1">SumByColor(I105:O105,Legend!$C$2)</f>
        <v>6</v>
      </c>
      <c r="G104" s="625">
        <f ca="1">(F104/D104)*100%</f>
        <v>1.101159888415798E-2</v>
      </c>
      <c r="H104" s="51"/>
      <c r="I104" s="451" t="s">
        <v>550</v>
      </c>
      <c r="J104" s="125" t="s">
        <v>551</v>
      </c>
      <c r="K104" s="451" t="s">
        <v>549</v>
      </c>
      <c r="L104" s="522" t="s">
        <v>559</v>
      </c>
      <c r="M104" s="523"/>
      <c r="N104" s="449"/>
      <c r="O104" s="508"/>
      <c r="P104" s="508"/>
      <c r="Q104" s="508"/>
      <c r="R104" s="508"/>
      <c r="S104" s="508"/>
      <c r="T104" s="507"/>
      <c r="U104" s="730" t="s">
        <v>363</v>
      </c>
      <c r="V104" s="642">
        <f t="shared" ref="V104" si="41">SUM(Y105:AF105)</f>
        <v>26.56</v>
      </c>
      <c r="W104" s="640">
        <f ca="1">SumByColor(Y105:AF105,Legend!$C$2)</f>
        <v>0</v>
      </c>
      <c r="X104" s="721">
        <f t="shared" ref="X104" ca="1" si="42">IF(V104&lt;&gt;0,(W104/V104)*100%,0)</f>
        <v>0</v>
      </c>
      <c r="Y104" s="109" t="s">
        <v>561</v>
      </c>
      <c r="Z104" s="110"/>
      <c r="AA104" s="110"/>
      <c r="AB104" s="110"/>
      <c r="AC104" s="110"/>
      <c r="AD104" s="110"/>
      <c r="AE104" s="110"/>
      <c r="AF104" s="17"/>
      <c r="AG104" s="28"/>
      <c r="AH104" s="707"/>
      <c r="AI104" s="710"/>
      <c r="AJ104" s="709"/>
      <c r="AK104" s="28"/>
    </row>
    <row r="105" spans="1:38" s="17" customFormat="1" ht="20.75" customHeight="1" x14ac:dyDescent="0.4">
      <c r="B105" s="725"/>
      <c r="C105" s="509"/>
      <c r="D105" s="632"/>
      <c r="E105" s="119"/>
      <c r="F105" s="641"/>
      <c r="G105" s="625"/>
      <c r="H105" s="51"/>
      <c r="I105" s="268">
        <v>185</v>
      </c>
      <c r="J105" s="122">
        <v>347.88</v>
      </c>
      <c r="K105" s="268">
        <v>6</v>
      </c>
      <c r="L105" s="235">
        <v>6</v>
      </c>
      <c r="M105" s="434"/>
      <c r="N105" s="434"/>
      <c r="O105" s="507"/>
      <c r="P105" s="507"/>
      <c r="Q105" s="507"/>
      <c r="R105" s="507"/>
      <c r="S105" s="507"/>
      <c r="T105" s="449"/>
      <c r="U105" s="730"/>
      <c r="V105" s="642"/>
      <c r="W105" s="641"/>
      <c r="X105" s="722"/>
      <c r="Y105" s="63">
        <f>BOMA!D42</f>
        <v>26.56</v>
      </c>
      <c r="Z105" s="541"/>
      <c r="AA105" s="583"/>
      <c r="AB105" s="583"/>
      <c r="AC105" s="583"/>
      <c r="AD105" s="583"/>
      <c r="AE105" s="583"/>
      <c r="AF105" s="23"/>
      <c r="AG105" s="23"/>
      <c r="AH105" s="707"/>
      <c r="AI105" s="708"/>
      <c r="AJ105" s="709"/>
    </row>
    <row r="106" spans="1:38" s="17" customFormat="1" ht="20.75" customHeight="1" x14ac:dyDescent="0.4">
      <c r="B106" s="723" t="s">
        <v>583</v>
      </c>
      <c r="C106" s="626">
        <f>I107</f>
        <v>249.77</v>
      </c>
      <c r="D106" s="631">
        <f>SUM(I107:O108)</f>
        <v>313.27</v>
      </c>
      <c r="E106" s="629">
        <f>ROUND(C106-D106,1)</f>
        <v>-63.5</v>
      </c>
      <c r="F106" s="640">
        <f ca="1">SumByColor(I107:O108,Legend!$C$2)</f>
        <v>0</v>
      </c>
      <c r="G106" s="721">
        <f t="shared" ref="G106" ca="1" si="43">(F106/D106)*100%</f>
        <v>0</v>
      </c>
      <c r="H106" s="51"/>
      <c r="I106" s="125" t="s">
        <v>543</v>
      </c>
      <c r="J106" s="527"/>
      <c r="K106" s="528"/>
      <c r="L106" s="449"/>
      <c r="M106" s="88"/>
      <c r="N106" s="449"/>
      <c r="O106" s="449"/>
      <c r="P106" s="449"/>
      <c r="Q106" s="449"/>
      <c r="R106" s="449"/>
      <c r="S106" s="449"/>
      <c r="T106" s="434"/>
      <c r="U106" s="628" t="s">
        <v>364</v>
      </c>
      <c r="V106" s="642">
        <f t="shared" ref="V106" si="44">SUM(Y107:AF107)</f>
        <v>130.72</v>
      </c>
      <c r="W106" s="640">
        <f ca="1">SumByColor(Y107:AF107,Legend!$C$2)</f>
        <v>0</v>
      </c>
      <c r="X106" s="721">
        <f t="shared" ref="X106" ca="1" si="45">IF(V106&lt;&gt;0,(W106/V106)*100%,0)</f>
        <v>0</v>
      </c>
      <c r="Y106" s="457" t="s">
        <v>568</v>
      </c>
      <c r="Z106" s="431" t="s">
        <v>568</v>
      </c>
      <c r="AA106" s="431" t="s">
        <v>520</v>
      </c>
      <c r="AB106" s="432" t="s">
        <v>567</v>
      </c>
      <c r="AC106" s="431" t="s">
        <v>222</v>
      </c>
      <c r="AD106" s="431" t="s">
        <v>329</v>
      </c>
      <c r="AE106" s="431" t="s">
        <v>564</v>
      </c>
      <c r="AF106" s="32"/>
      <c r="AG106" s="28"/>
      <c r="AH106" s="707"/>
      <c r="AI106" s="708"/>
      <c r="AJ106" s="709"/>
    </row>
    <row r="107" spans="1:38" s="23" customFormat="1" ht="20.75" customHeight="1" x14ac:dyDescent="0.4">
      <c r="A107" s="61"/>
      <c r="B107" s="724"/>
      <c r="C107" s="627"/>
      <c r="D107" s="726"/>
      <c r="E107" s="630"/>
      <c r="F107" s="727"/>
      <c r="G107" s="729"/>
      <c r="H107" s="51"/>
      <c r="I107" s="269">
        <v>249.77</v>
      </c>
      <c r="J107" s="439"/>
      <c r="K107" s="434"/>
      <c r="L107" s="434"/>
      <c r="M107" s="124"/>
      <c r="N107" s="434"/>
      <c r="O107" s="434"/>
      <c r="P107" s="434"/>
      <c r="Q107" s="434"/>
      <c r="R107" s="434"/>
      <c r="S107" s="434"/>
      <c r="T107" s="434"/>
      <c r="U107" s="628"/>
      <c r="V107" s="642"/>
      <c r="W107" s="641"/>
      <c r="X107" s="722"/>
      <c r="Y107" s="456">
        <f>BOMA!D28</f>
        <v>20.62</v>
      </c>
      <c r="Z107" s="63">
        <f>BOMA!D29</f>
        <v>20.62</v>
      </c>
      <c r="AA107" s="63">
        <f>BOMA!D30</f>
        <v>7.26</v>
      </c>
      <c r="AB107" s="78">
        <f>BOMA!D31</f>
        <v>11.11</v>
      </c>
      <c r="AC107" s="63">
        <f>BOMA!D32</f>
        <v>22.28</v>
      </c>
      <c r="AD107" s="63">
        <f>BOMA!D33</f>
        <v>22.27</v>
      </c>
      <c r="AE107" s="63">
        <f>BOMA!D34</f>
        <v>26.56</v>
      </c>
      <c r="AG107" s="28"/>
      <c r="AH107" s="707"/>
      <c r="AI107" s="708"/>
      <c r="AJ107" s="709"/>
    </row>
    <row r="108" spans="1:38" s="17" customFormat="1" ht="20.75" customHeight="1" x14ac:dyDescent="0.4">
      <c r="B108" s="725"/>
      <c r="C108" s="442"/>
      <c r="D108" s="632"/>
      <c r="E108" s="443"/>
      <c r="F108" s="728"/>
      <c r="G108" s="722"/>
      <c r="H108" s="478"/>
      <c r="I108" s="229">
        <v>63.5</v>
      </c>
      <c r="J108" s="524"/>
      <c r="K108" s="525"/>
      <c r="L108" s="525"/>
      <c r="M108" s="526"/>
      <c r="N108" s="525"/>
      <c r="O108" s="525"/>
      <c r="P108" s="434"/>
      <c r="Q108" s="434"/>
      <c r="R108" s="434"/>
      <c r="S108" s="434"/>
      <c r="T108" s="529"/>
      <c r="U108" s="628" t="s">
        <v>366</v>
      </c>
      <c r="V108" s="642">
        <f t="shared" ref="V108" si="46">SUM(Y109:AF109)</f>
        <v>130.72</v>
      </c>
      <c r="W108" s="640">
        <f ca="1">SumByColor(Y109:AF109,Legend!$C$2)</f>
        <v>0</v>
      </c>
      <c r="X108" s="721">
        <f t="shared" ref="X108" ca="1" si="47">IF(V108&lt;&gt;0,(W108/V108)*100%,0)</f>
        <v>0</v>
      </c>
      <c r="Y108" s="457" t="s">
        <v>561</v>
      </c>
      <c r="Z108" s="109" t="s">
        <v>562</v>
      </c>
      <c r="AA108" s="109" t="s">
        <v>568</v>
      </c>
      <c r="AB108" s="114" t="s">
        <v>563</v>
      </c>
      <c r="AC108" s="109" t="s">
        <v>568</v>
      </c>
      <c r="AD108" s="109" t="s">
        <v>568</v>
      </c>
      <c r="AE108" s="109" t="s">
        <v>324</v>
      </c>
      <c r="AG108" s="28"/>
      <c r="AH108" s="707"/>
      <c r="AI108" s="708"/>
      <c r="AJ108" s="709"/>
    </row>
    <row r="109" spans="1:38" ht="20.75" customHeight="1" x14ac:dyDescent="0.4">
      <c r="B109" s="628" t="s">
        <v>4</v>
      </c>
      <c r="C109" s="626">
        <f>SUM(I110:O110)</f>
        <v>53.5</v>
      </c>
      <c r="D109" s="631">
        <f t="shared" ref="D109" si="48">SUM(I110:O110)</f>
        <v>53.5</v>
      </c>
      <c r="E109" s="629">
        <f>ROUND(C109-D109,1)</f>
        <v>0</v>
      </c>
      <c r="F109" s="640">
        <f ca="1">SumByColor(I110:O110,Legend!$C$2)</f>
        <v>0</v>
      </c>
      <c r="G109" s="625">
        <f t="shared" ref="G109" ca="1" si="49">(F109/D109)*100%</f>
        <v>0</v>
      </c>
      <c r="H109" s="51"/>
      <c r="I109" s="231" t="s">
        <v>527</v>
      </c>
      <c r="J109" s="231" t="s">
        <v>528</v>
      </c>
      <c r="K109" s="231" t="s">
        <v>529</v>
      </c>
      <c r="L109" s="231" t="s">
        <v>530</v>
      </c>
      <c r="M109" s="231" t="s">
        <v>532</v>
      </c>
      <c r="N109" s="231" t="s">
        <v>531</v>
      </c>
      <c r="O109" s="231" t="s">
        <v>533</v>
      </c>
      <c r="P109" s="529"/>
      <c r="Q109" s="529"/>
      <c r="R109" s="529"/>
      <c r="S109" s="529"/>
      <c r="T109" s="434"/>
      <c r="U109" s="628"/>
      <c r="V109" s="642"/>
      <c r="W109" s="641"/>
      <c r="X109" s="722"/>
      <c r="Y109" s="456">
        <f>BOMA!D16</f>
        <v>20.62</v>
      </c>
      <c r="Z109" s="63">
        <f>BOMA!D17</f>
        <v>20.62</v>
      </c>
      <c r="AA109" s="63">
        <f>BOMA!D18</f>
        <v>7.26</v>
      </c>
      <c r="AB109" s="63">
        <f>BOMA!D31</f>
        <v>11.11</v>
      </c>
      <c r="AC109" s="63">
        <f>BOMA!D20</f>
        <v>22.28</v>
      </c>
      <c r="AD109" s="63">
        <f>BOMA!D21</f>
        <v>22.27</v>
      </c>
      <c r="AE109" s="63">
        <f>BOMA!D22</f>
        <v>26.56</v>
      </c>
      <c r="AG109" s="28"/>
      <c r="AH109" s="707"/>
      <c r="AI109" s="708"/>
      <c r="AJ109" s="709"/>
      <c r="AK109" s="222"/>
      <c r="AL109" s="424"/>
    </row>
    <row r="110" spans="1:38" s="17" customFormat="1" ht="20.75" customHeight="1" x14ac:dyDescent="0.4">
      <c r="B110" s="628"/>
      <c r="C110" s="627"/>
      <c r="D110" s="632"/>
      <c r="E110" s="630"/>
      <c r="F110" s="641"/>
      <c r="G110" s="625"/>
      <c r="H110" s="51"/>
      <c r="I110" s="126">
        <v>7.4</v>
      </c>
      <c r="J110" s="126">
        <v>7.9</v>
      </c>
      <c r="K110" s="122">
        <v>7.9</v>
      </c>
      <c r="L110" s="122">
        <v>7.6</v>
      </c>
      <c r="M110" s="122">
        <v>6.9</v>
      </c>
      <c r="N110" s="122">
        <v>7.9</v>
      </c>
      <c r="O110" s="122">
        <v>7.9</v>
      </c>
      <c r="P110" s="434"/>
      <c r="Q110" s="434"/>
      <c r="R110" s="434"/>
      <c r="S110" s="434"/>
      <c r="T110" s="529"/>
      <c r="U110" s="638" t="s">
        <v>368</v>
      </c>
      <c r="V110" s="642">
        <f t="shared" ref="V110" si="50">SUM(Y111:AF111)</f>
        <v>139.07999999999998</v>
      </c>
      <c r="W110" s="640">
        <f ca="1">SumByColor(Y111:AF111,Legend!$C$2)</f>
        <v>0</v>
      </c>
      <c r="X110" s="721">
        <f t="shared" ref="X110" ca="1" si="51">IF(V110&lt;&gt;0,(W110/V110)*100%,0)</f>
        <v>0</v>
      </c>
      <c r="Y110" s="457" t="s">
        <v>324</v>
      </c>
      <c r="Z110" s="109" t="s">
        <v>569</v>
      </c>
      <c r="AA110" s="109" t="s">
        <v>570</v>
      </c>
      <c r="AB110" s="114" t="s">
        <v>324</v>
      </c>
      <c r="AC110" s="109" t="s">
        <v>324</v>
      </c>
      <c r="AD110" s="109" t="s">
        <v>324</v>
      </c>
      <c r="AE110" s="109" t="s">
        <v>571</v>
      </c>
      <c r="AG110" s="28"/>
      <c r="AH110" s="707"/>
      <c r="AI110" s="708"/>
      <c r="AJ110" s="709"/>
      <c r="AK110" s="66"/>
    </row>
    <row r="111" spans="1:38" ht="20.75" customHeight="1" x14ac:dyDescent="0.4">
      <c r="B111" s="628" t="s">
        <v>4</v>
      </c>
      <c r="C111" s="626">
        <f>SUM(I112:O112)</f>
        <v>58.86</v>
      </c>
      <c r="D111" s="631">
        <f t="shared" ref="D111" si="52">SUM(I112:O112)</f>
        <v>58.86</v>
      </c>
      <c r="E111" s="629">
        <f>ROUND(C111-D111,1)</f>
        <v>0</v>
      </c>
      <c r="F111" s="640">
        <f ca="1">SumByColor(I112:O112,Legend!$C$2)</f>
        <v>14.51</v>
      </c>
      <c r="G111" s="625">
        <f t="shared" ref="G111" ca="1" si="53">(F111/D111)*100%</f>
        <v>0.24651715936119606</v>
      </c>
      <c r="H111" s="51"/>
      <c r="I111" s="123" t="s">
        <v>538</v>
      </c>
      <c r="J111" s="123" t="s">
        <v>539</v>
      </c>
      <c r="K111" s="123" t="s">
        <v>540</v>
      </c>
      <c r="L111" s="236" t="s">
        <v>600</v>
      </c>
      <c r="M111" s="123" t="s">
        <v>541</v>
      </c>
      <c r="N111" s="123" t="s">
        <v>542</v>
      </c>
      <c r="O111" s="236" t="s">
        <v>601</v>
      </c>
      <c r="P111" s="529"/>
      <c r="Q111" s="529"/>
      <c r="R111" s="529"/>
      <c r="S111" s="529"/>
      <c r="T111" s="434"/>
      <c r="U111" s="639"/>
      <c r="V111" s="642"/>
      <c r="W111" s="641"/>
      <c r="X111" s="722"/>
      <c r="Y111" s="456">
        <f>BOMA!D4</f>
        <v>20.62</v>
      </c>
      <c r="Z111" s="63">
        <f>BOMA!D5</f>
        <v>20.62</v>
      </c>
      <c r="AA111" s="63">
        <f>BOMA!D6</f>
        <v>7.26</v>
      </c>
      <c r="AB111" s="78">
        <f>BOMA!D7</f>
        <v>19.47</v>
      </c>
      <c r="AC111" s="63">
        <f>BOMA!D8</f>
        <v>22.28</v>
      </c>
      <c r="AD111" s="63">
        <f>BOMA!D9</f>
        <v>22.27</v>
      </c>
      <c r="AE111" s="63">
        <f>BOMA!D10</f>
        <v>26.56</v>
      </c>
      <c r="AG111" s="28"/>
      <c r="AH111" s="707"/>
      <c r="AI111" s="708"/>
      <c r="AJ111" s="709"/>
      <c r="AK111" s="222"/>
      <c r="AL111" s="424"/>
    </row>
    <row r="112" spans="1:38" s="17" customFormat="1" ht="20.75" customHeight="1" x14ac:dyDescent="0.4">
      <c r="B112" s="628"/>
      <c r="C112" s="627"/>
      <c r="D112" s="632"/>
      <c r="E112" s="630"/>
      <c r="F112" s="641"/>
      <c r="G112" s="625"/>
      <c r="H112" s="51"/>
      <c r="I112" s="269">
        <v>7.4</v>
      </c>
      <c r="J112" s="269">
        <v>7.8</v>
      </c>
      <c r="K112" s="269">
        <v>6.4</v>
      </c>
      <c r="L112" s="235">
        <v>6.4</v>
      </c>
      <c r="M112" s="122">
        <v>6.4</v>
      </c>
      <c r="N112" s="122">
        <v>16.350000000000001</v>
      </c>
      <c r="O112" s="235">
        <v>8.11</v>
      </c>
      <c r="P112" s="434"/>
      <c r="Q112" s="434"/>
      <c r="R112" s="434"/>
      <c r="S112" s="434"/>
      <c r="U112" s="585" t="s">
        <v>361</v>
      </c>
      <c r="V112" s="80">
        <f>SUM(V7:V111)</f>
        <v>1021.8599999999999</v>
      </c>
      <c r="W112" s="80">
        <f ca="1">SUM(W7:W111)</f>
        <v>101.93</v>
      </c>
      <c r="X112" s="273">
        <f ca="1">W112/V112*100%</f>
        <v>9.9749476444914192E-2</v>
      </c>
      <c r="Y112" s="20"/>
      <c r="Z112" s="20"/>
      <c r="AA112" s="20"/>
      <c r="AB112" s="20"/>
      <c r="AC112" s="20"/>
      <c r="AD112" s="20"/>
      <c r="AE112" s="575"/>
      <c r="AG112" s="28"/>
      <c r="AH112" s="707"/>
      <c r="AI112" s="708"/>
      <c r="AJ112" s="709"/>
      <c r="AK112" s="66"/>
    </row>
    <row r="113" spans="1:38" ht="20.75" customHeight="1" x14ac:dyDescent="0.4">
      <c r="B113" s="628" t="s">
        <v>4</v>
      </c>
      <c r="C113" s="626">
        <f>I114+J114+L114+M114</f>
        <v>113.22</v>
      </c>
      <c r="D113" s="631">
        <f>SUM(I114:O114)</f>
        <v>122.22</v>
      </c>
      <c r="E113" s="629">
        <f>ROUND(C113-D113,1)</f>
        <v>-9</v>
      </c>
      <c r="F113" s="640">
        <f ca="1">SumByColor(I114:O114,Legend!$C$2)</f>
        <v>0</v>
      </c>
      <c r="G113" s="625">
        <f ca="1">(F113/(D113+D111))*100%</f>
        <v>0</v>
      </c>
      <c r="H113" s="51"/>
      <c r="I113" s="123" t="s">
        <v>535</v>
      </c>
      <c r="J113" s="123" t="s">
        <v>536</v>
      </c>
      <c r="K113" s="123" t="s">
        <v>534</v>
      </c>
      <c r="L113" s="517"/>
      <c r="M113" s="519"/>
      <c r="N113" s="529"/>
      <c r="O113" s="529"/>
      <c r="P113" s="529"/>
      <c r="Q113" s="529"/>
      <c r="R113" s="529"/>
      <c r="S113" s="529"/>
      <c r="T113" s="434"/>
      <c r="U113" s="23"/>
      <c r="V113" s="85"/>
      <c r="W113" s="85"/>
      <c r="X113" s="85"/>
      <c r="Y113" s="85"/>
      <c r="AB113" s="59"/>
      <c r="AC113" s="56"/>
      <c r="AD113" s="17"/>
      <c r="AG113" s="28"/>
      <c r="AH113" s="707"/>
      <c r="AI113" s="708"/>
      <c r="AJ113" s="709"/>
      <c r="AK113" s="17"/>
      <c r="AL113" s="17"/>
    </row>
    <row r="114" spans="1:38" s="17" customFormat="1" ht="20.75" customHeight="1" x14ac:dyDescent="0.4">
      <c r="B114" s="628"/>
      <c r="C114" s="627"/>
      <c r="D114" s="632"/>
      <c r="E114" s="630"/>
      <c r="F114" s="641"/>
      <c r="G114" s="625"/>
      <c r="H114" s="51"/>
      <c r="I114" s="122">
        <v>15.72</v>
      </c>
      <c r="J114" s="269">
        <v>97.5</v>
      </c>
      <c r="K114" s="269">
        <v>9</v>
      </c>
      <c r="L114" s="524"/>
      <c r="M114" s="525"/>
      <c r="N114" s="434"/>
      <c r="O114" s="434"/>
      <c r="P114" s="434"/>
      <c r="Q114" s="434"/>
      <c r="R114" s="434"/>
      <c r="S114" s="434"/>
      <c r="U114" s="23"/>
      <c r="V114" s="569"/>
      <c r="W114" s="569"/>
      <c r="X114" s="569"/>
      <c r="Y114" s="570"/>
      <c r="Z114" s="23"/>
      <c r="AA114" s="23"/>
      <c r="AB114" s="23"/>
      <c r="AC114" s="23"/>
      <c r="AD114" s="23"/>
      <c r="AE114" s="23"/>
      <c r="AF114" s="584"/>
      <c r="AG114" s="28"/>
      <c r="AH114" s="707"/>
      <c r="AI114" s="708"/>
      <c r="AJ114" s="709"/>
    </row>
    <row r="115" spans="1:38" ht="20.75" customHeight="1" x14ac:dyDescent="0.4">
      <c r="B115" s="730" t="s">
        <v>363</v>
      </c>
      <c r="C115" s="626">
        <f>BOMA!I44+BOMA!J44</f>
        <v>367.14</v>
      </c>
      <c r="D115" s="631">
        <f t="shared" ref="D115" si="54">SUM(I116:O116)</f>
        <v>367.16999999999996</v>
      </c>
      <c r="E115" s="629">
        <f>ROUND(C115-D115,1)</f>
        <v>0</v>
      </c>
      <c r="F115" s="640">
        <f ca="1">SumByColor(I116:O116,Legend!$C$2)</f>
        <v>0</v>
      </c>
      <c r="G115" s="625">
        <f t="shared" ref="G115" ca="1" si="55">(F115/D115)*100%</f>
        <v>0</v>
      </c>
      <c r="H115" s="51"/>
      <c r="I115" s="435" t="s">
        <v>554</v>
      </c>
      <c r="J115" s="125" t="s">
        <v>565</v>
      </c>
      <c r="K115" s="125" t="s">
        <v>566</v>
      </c>
      <c r="L115" s="125" t="s">
        <v>577</v>
      </c>
      <c r="M115" s="436" t="s">
        <v>578</v>
      </c>
      <c r="N115" s="436" t="s">
        <v>572</v>
      </c>
      <c r="O115" s="436" t="s">
        <v>573</v>
      </c>
      <c r="P115" s="449"/>
      <c r="Q115" s="449"/>
      <c r="R115" s="449"/>
      <c r="S115" s="449"/>
      <c r="T115" s="434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576"/>
      <c r="AG115" s="576"/>
      <c r="AH115" s="573"/>
      <c r="AI115" s="573"/>
      <c r="AJ115" s="574"/>
      <c r="AK115" s="28"/>
    </row>
    <row r="116" spans="1:38" s="17" customFormat="1" ht="20.75" customHeight="1" x14ac:dyDescent="0.4">
      <c r="B116" s="730"/>
      <c r="C116" s="627"/>
      <c r="D116" s="632"/>
      <c r="E116" s="630"/>
      <c r="F116" s="641"/>
      <c r="G116" s="625"/>
      <c r="H116" s="51"/>
      <c r="I116" s="268">
        <v>26.38</v>
      </c>
      <c r="J116" s="122">
        <v>54</v>
      </c>
      <c r="K116" s="122">
        <f>22.87+11.37</f>
        <v>34.24</v>
      </c>
      <c r="L116" s="122">
        <v>22.72</v>
      </c>
      <c r="M116" s="229">
        <f>75.77+63.7</f>
        <v>139.47</v>
      </c>
      <c r="N116" s="229">
        <v>17.96</v>
      </c>
      <c r="O116" s="229">
        <v>72.400000000000006</v>
      </c>
      <c r="P116" s="434"/>
      <c r="Q116" s="434"/>
      <c r="R116" s="434"/>
      <c r="S116" s="434"/>
      <c r="T116" s="449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59"/>
      <c r="AG116" s="56"/>
    </row>
    <row r="117" spans="1:38" ht="20.75" customHeight="1" x14ac:dyDescent="0.4">
      <c r="B117" s="628" t="s">
        <v>364</v>
      </c>
      <c r="C117" s="626">
        <f>BOMA!I36</f>
        <v>26.38</v>
      </c>
      <c r="D117" s="631">
        <f t="shared" ref="D117" si="56">SUM(I118:O118)</f>
        <v>26.38</v>
      </c>
      <c r="E117" s="629">
        <f>ROUND(C117-D117,1)</f>
        <v>0</v>
      </c>
      <c r="F117" s="640">
        <f ca="1">SumByColor(I118:O118,Legend!$C$2)</f>
        <v>0</v>
      </c>
      <c r="G117" s="625">
        <f t="shared" ref="G117" ca="1" si="57">(F117/D117)*100%</f>
        <v>0</v>
      </c>
      <c r="H117" s="51"/>
      <c r="I117" s="125" t="s">
        <v>554</v>
      </c>
      <c r="J117" s="504"/>
      <c r="K117" s="70"/>
      <c r="L117" s="508"/>
      <c r="M117" s="713"/>
      <c r="N117" s="713"/>
      <c r="O117" s="713"/>
      <c r="P117" s="449"/>
      <c r="Q117" s="449"/>
      <c r="R117" s="449"/>
      <c r="S117" s="449"/>
      <c r="T117" s="434"/>
      <c r="U117" s="28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8"/>
    </row>
    <row r="118" spans="1:38" s="17" customFormat="1" ht="20.75" customHeight="1" x14ac:dyDescent="0.4">
      <c r="B118" s="628"/>
      <c r="C118" s="627"/>
      <c r="D118" s="632"/>
      <c r="E118" s="630"/>
      <c r="F118" s="641"/>
      <c r="G118" s="625"/>
      <c r="H118" s="51"/>
      <c r="I118" s="122">
        <v>26.38</v>
      </c>
      <c r="J118" s="505"/>
      <c r="K118" s="422"/>
      <c r="L118" s="507"/>
      <c r="M118" s="712"/>
      <c r="N118" s="711"/>
      <c r="O118" s="711"/>
      <c r="P118" s="434"/>
      <c r="Q118" s="434"/>
      <c r="R118" s="434"/>
      <c r="S118" s="434"/>
      <c r="T118" s="449"/>
      <c r="U118" s="28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</row>
    <row r="119" spans="1:38" s="17" customFormat="1" ht="20.75" customHeight="1" x14ac:dyDescent="0.4">
      <c r="B119" s="628" t="s">
        <v>366</v>
      </c>
      <c r="C119" s="626">
        <f>BOMA!I24</f>
        <v>26.38</v>
      </c>
      <c r="D119" s="631">
        <f t="shared" ref="D119" si="58">SUM(I120:O120)</f>
        <v>26.38</v>
      </c>
      <c r="E119" s="629">
        <f>ROUND(C119-D119,1)</f>
        <v>0</v>
      </c>
      <c r="F119" s="640">
        <f ca="1">SumByColor(I120:O120,Legend!$C$2)</f>
        <v>0</v>
      </c>
      <c r="G119" s="625">
        <f t="shared" ref="G119" ca="1" si="59">(F119/D119)*100%</f>
        <v>0</v>
      </c>
      <c r="H119" s="51"/>
      <c r="I119" s="125" t="s">
        <v>554</v>
      </c>
      <c r="J119" s="504"/>
      <c r="K119" s="70"/>
      <c r="L119" s="508"/>
      <c r="M119" s="713"/>
      <c r="N119" s="713"/>
      <c r="O119" s="713"/>
      <c r="P119" s="449"/>
      <c r="Q119" s="449"/>
      <c r="R119" s="449"/>
      <c r="S119" s="449"/>
      <c r="T119" s="434"/>
      <c r="U119" s="20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3"/>
      <c r="AG119" s="23"/>
      <c r="AH119" s="23"/>
      <c r="AI119" s="23"/>
      <c r="AJ119" s="23"/>
    </row>
    <row r="120" spans="1:38" s="17" customFormat="1" ht="20.75" customHeight="1" x14ac:dyDescent="0.4">
      <c r="B120" s="628"/>
      <c r="C120" s="627"/>
      <c r="D120" s="632"/>
      <c r="E120" s="630"/>
      <c r="F120" s="641"/>
      <c r="G120" s="625"/>
      <c r="H120" s="51"/>
      <c r="I120" s="122">
        <v>26.38</v>
      </c>
      <c r="J120" s="505"/>
      <c r="K120" s="422"/>
      <c r="L120" s="507"/>
      <c r="M120" s="712"/>
      <c r="N120" s="711"/>
      <c r="O120" s="711"/>
      <c r="P120" s="434"/>
      <c r="Q120" s="434"/>
      <c r="R120" s="434"/>
      <c r="S120" s="434"/>
      <c r="T120" s="434"/>
      <c r="U120" s="20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3"/>
      <c r="AG120" s="23"/>
      <c r="AH120" s="23"/>
      <c r="AI120" s="23"/>
      <c r="AJ120" s="23"/>
    </row>
    <row r="121" spans="1:38" s="17" customFormat="1" ht="20.75" customHeight="1" x14ac:dyDescent="0.4">
      <c r="B121" s="638" t="s">
        <v>368</v>
      </c>
      <c r="C121" s="626">
        <f>BOMA!I12</f>
        <v>26.38</v>
      </c>
      <c r="D121" s="631">
        <f t="shared" ref="D121" si="60">SUM(I122:O122)</f>
        <v>26.38</v>
      </c>
      <c r="E121" s="629">
        <f>ROUND(C121-D121,1)</f>
        <v>0</v>
      </c>
      <c r="F121" s="640">
        <f ca="1">SumByColor(I122:O122,Legend!$C$2)</f>
        <v>0</v>
      </c>
      <c r="G121" s="625">
        <f t="shared" ref="G121" ca="1" si="61">(F121/D121)*100%</f>
        <v>0</v>
      </c>
      <c r="H121" s="51"/>
      <c r="I121" s="125" t="s">
        <v>554</v>
      </c>
      <c r="J121" s="504"/>
      <c r="K121" s="76"/>
      <c r="L121" s="434"/>
      <c r="M121" s="440"/>
      <c r="N121" s="434"/>
      <c r="O121" s="434"/>
      <c r="P121" s="434"/>
      <c r="Q121" s="434"/>
      <c r="R121" s="434"/>
      <c r="S121" s="434"/>
      <c r="T121" s="434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3"/>
      <c r="AG121" s="23"/>
      <c r="AH121" s="23"/>
      <c r="AI121" s="23"/>
      <c r="AJ121" s="23"/>
    </row>
    <row r="122" spans="1:38" s="17" customFormat="1" ht="20.75" customHeight="1" x14ac:dyDescent="0.4">
      <c r="B122" s="639"/>
      <c r="C122" s="627"/>
      <c r="D122" s="632"/>
      <c r="E122" s="630"/>
      <c r="F122" s="641"/>
      <c r="G122" s="625"/>
      <c r="H122" s="51"/>
      <c r="I122" s="423">
        <v>26.38</v>
      </c>
      <c r="J122" s="504"/>
      <c r="K122" s="76"/>
      <c r="L122" s="434"/>
      <c r="M122" s="440"/>
      <c r="N122" s="434"/>
      <c r="O122" s="434"/>
      <c r="P122" s="434"/>
      <c r="Q122" s="434"/>
      <c r="R122" s="434"/>
      <c r="S122" s="434"/>
      <c r="T122" s="23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8"/>
      <c r="AG122" s="28"/>
      <c r="AH122" s="28"/>
      <c r="AI122" s="28"/>
      <c r="AJ122" s="28"/>
    </row>
    <row r="123" spans="1:38" s="23" customFormat="1" ht="24" customHeight="1" x14ac:dyDescent="0.4">
      <c r="A123" s="61"/>
      <c r="B123" s="16" t="s">
        <v>558</v>
      </c>
      <c r="C123" s="79">
        <f>SUM(C99:C122)</f>
        <v>2292.0500000000002</v>
      </c>
      <c r="D123" s="80">
        <f>SUM(D99:D122)</f>
        <v>2912.71</v>
      </c>
      <c r="E123" s="80">
        <f>SUM(E25:E122)</f>
        <v>-75.7</v>
      </c>
      <c r="F123" s="80">
        <f ca="1">SUM(F99:F122)</f>
        <v>103.25</v>
      </c>
      <c r="G123" s="81">
        <f ca="1">F123/D123</f>
        <v>3.5448087863192694E-2</v>
      </c>
      <c r="H123" s="82"/>
      <c r="I123" s="711"/>
      <c r="J123" s="711"/>
      <c r="K123" s="711"/>
      <c r="L123" s="711"/>
      <c r="M123" s="711"/>
      <c r="N123" s="711"/>
      <c r="O123" s="711"/>
      <c r="P123" s="434"/>
      <c r="Q123" s="434"/>
      <c r="R123" s="434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8"/>
      <c r="AG123" s="28"/>
      <c r="AH123" s="28"/>
      <c r="AI123" s="28"/>
      <c r="AJ123" s="28"/>
    </row>
    <row r="124" spans="1:38" s="23" customFormat="1" ht="24" customHeight="1" x14ac:dyDescent="0.4">
      <c r="B124" s="510"/>
      <c r="C124" s="515"/>
      <c r="D124" s="511"/>
      <c r="E124" s="511"/>
      <c r="F124" s="511"/>
      <c r="G124" s="513"/>
      <c r="H124" s="82"/>
      <c r="I124" s="434"/>
      <c r="J124" s="434"/>
      <c r="K124" s="434"/>
      <c r="L124" s="434"/>
      <c r="M124" s="434"/>
      <c r="N124" s="434"/>
      <c r="O124" s="434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35"/>
      <c r="AG124" s="32"/>
      <c r="AH124" s="28"/>
      <c r="AI124" s="20"/>
      <c r="AJ124" s="35"/>
    </row>
    <row r="125" spans="1:38" s="23" customFormat="1" ht="24" customHeight="1" x14ac:dyDescent="0.65">
      <c r="B125" s="502" t="s">
        <v>590</v>
      </c>
      <c r="C125" s="516"/>
      <c r="D125" s="512"/>
      <c r="E125" s="512"/>
      <c r="F125" s="512"/>
      <c r="G125" s="514"/>
      <c r="H125" s="82"/>
      <c r="I125" s="434"/>
      <c r="J125" s="434"/>
      <c r="K125" s="434"/>
      <c r="L125" s="434"/>
      <c r="M125" s="434"/>
      <c r="N125" s="434"/>
      <c r="O125" s="434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35"/>
      <c r="AG125" s="32"/>
      <c r="AH125" s="28"/>
      <c r="AI125" s="20"/>
      <c r="AJ125" s="35"/>
    </row>
    <row r="126" spans="1:38" s="23" customFormat="1" ht="39.75" customHeight="1" x14ac:dyDescent="0.4">
      <c r="A126" s="61"/>
      <c r="B126" s="672" t="s">
        <v>6</v>
      </c>
      <c r="C126" s="676" t="s">
        <v>557</v>
      </c>
      <c r="D126" s="535" t="s">
        <v>588</v>
      </c>
      <c r="E126" s="116" t="s">
        <v>174</v>
      </c>
      <c r="F126" s="674" t="s">
        <v>556</v>
      </c>
      <c r="G126" s="675"/>
      <c r="H126" s="37"/>
      <c r="I126" s="672" t="s">
        <v>589</v>
      </c>
      <c r="J126" s="672"/>
      <c r="K126" s="673"/>
      <c r="L126" s="673"/>
      <c r="M126" s="673"/>
      <c r="N126" s="672"/>
      <c r="O126" s="672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35"/>
      <c r="AG126" s="32"/>
      <c r="AH126" s="28"/>
      <c r="AI126" s="20"/>
      <c r="AJ126" s="35"/>
    </row>
    <row r="127" spans="1:38" s="23" customFormat="1" ht="24" customHeight="1" x14ac:dyDescent="0.4">
      <c r="A127" s="61"/>
      <c r="B127" s="672"/>
      <c r="C127" s="677"/>
      <c r="D127" s="41" t="s">
        <v>159</v>
      </c>
      <c r="E127" s="41" t="s">
        <v>159</v>
      </c>
      <c r="F127" s="42" t="s">
        <v>159</v>
      </c>
      <c r="G127" s="42" t="s">
        <v>24</v>
      </c>
      <c r="H127" s="37"/>
      <c r="I127" s="532" t="s">
        <v>7</v>
      </c>
      <c r="J127" s="532" t="s">
        <v>8</v>
      </c>
      <c r="K127" s="532" t="s">
        <v>9</v>
      </c>
      <c r="L127" s="532" t="s">
        <v>10</v>
      </c>
      <c r="M127" s="532" t="s">
        <v>11</v>
      </c>
      <c r="N127" s="532" t="s">
        <v>12</v>
      </c>
      <c r="O127" s="532" t="s">
        <v>13</v>
      </c>
      <c r="Q127" s="720"/>
      <c r="R127" s="540"/>
      <c r="T127" s="28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35"/>
      <c r="AG127" s="32"/>
      <c r="AH127" s="28"/>
      <c r="AI127" s="20"/>
      <c r="AJ127" s="35"/>
    </row>
    <row r="128" spans="1:38" ht="20.75" customHeight="1" x14ac:dyDescent="0.4">
      <c r="B128" s="628">
        <v>2</v>
      </c>
      <c r="C128" s="626">
        <f>BOMA!I132</f>
        <v>0</v>
      </c>
      <c r="D128" s="631">
        <f>SUM(I129:O129)</f>
        <v>1201.51</v>
      </c>
      <c r="E128" s="629">
        <f>ROUND(C128-D128,1)</f>
        <v>-1201.5</v>
      </c>
      <c r="F128" s="640">
        <f ca="1">SumByColor(I129:O129,$AC$88)+SumByColor(I129:O129,$AC$88)</f>
        <v>0</v>
      </c>
      <c r="G128" s="625">
        <f t="shared" ref="G128:G130" ca="1" si="62">(F128/D128)*100%</f>
        <v>0</v>
      </c>
      <c r="H128" s="477"/>
      <c r="I128" s="531" t="s">
        <v>99</v>
      </c>
      <c r="J128" s="534" t="s">
        <v>15</v>
      </c>
      <c r="K128" s="475" t="s">
        <v>552</v>
      </c>
      <c r="L128" s="559" t="s">
        <v>591</v>
      </c>
      <c r="M128" s="560" t="s">
        <v>592</v>
      </c>
      <c r="N128" s="529"/>
      <c r="O128" s="529"/>
      <c r="P128" s="107"/>
      <c r="Q128" s="720"/>
      <c r="R128" s="540"/>
      <c r="S128" s="28"/>
      <c r="T128" s="28"/>
      <c r="AK128" s="28"/>
    </row>
    <row r="129" spans="2:37" ht="20.75" customHeight="1" x14ac:dyDescent="0.4">
      <c r="B129" s="628"/>
      <c r="C129" s="627"/>
      <c r="D129" s="632"/>
      <c r="E129" s="630"/>
      <c r="F129" s="641"/>
      <c r="G129" s="625"/>
      <c r="H129" s="477"/>
      <c r="I129" s="557">
        <v>675</v>
      </c>
      <c r="J129" s="558">
        <v>134</v>
      </c>
      <c r="K129" s="558">
        <v>353.46</v>
      </c>
      <c r="L129" s="433">
        <v>21.35</v>
      </c>
      <c r="M129" s="433">
        <v>17.7</v>
      </c>
      <c r="N129" s="521"/>
      <c r="O129" s="521"/>
      <c r="Q129" s="450"/>
      <c r="R129" s="540"/>
      <c r="S129" s="28"/>
      <c r="AK129" s="28"/>
    </row>
    <row r="130" spans="2:37" ht="20.75" customHeight="1" x14ac:dyDescent="0.4">
      <c r="B130" s="628" t="s">
        <v>4</v>
      </c>
      <c r="C130" s="626">
        <f>I131+J131+L131+M131</f>
        <v>13.5</v>
      </c>
      <c r="D130" s="631">
        <f>SUM(I131:O131)</f>
        <v>13.5</v>
      </c>
      <c r="E130" s="629">
        <f>ROUND(C130-D130,1)</f>
        <v>0</v>
      </c>
      <c r="F130" s="640">
        <f ca="1">SumByColor(I131:O131,$AC$88)+SumByColor(I131:O131,$AD$88)</f>
        <v>0</v>
      </c>
      <c r="G130" s="625">
        <f t="shared" ca="1" si="62"/>
        <v>0</v>
      </c>
      <c r="H130" s="478"/>
      <c r="I130" s="560" t="s">
        <v>537</v>
      </c>
      <c r="J130" s="560" t="s">
        <v>574</v>
      </c>
      <c r="K130" s="560" t="s">
        <v>575</v>
      </c>
      <c r="L130" s="560" t="s">
        <v>576</v>
      </c>
      <c r="M130" s="529"/>
      <c r="N130" s="529"/>
      <c r="O130" s="529"/>
    </row>
    <row r="131" spans="2:37" ht="20.75" customHeight="1" x14ac:dyDescent="0.4">
      <c r="B131" s="628"/>
      <c r="C131" s="627"/>
      <c r="D131" s="632"/>
      <c r="E131" s="630"/>
      <c r="F131" s="641"/>
      <c r="G131" s="625"/>
      <c r="H131" s="478"/>
      <c r="I131" s="561">
        <v>13.5</v>
      </c>
      <c r="J131" s="561"/>
      <c r="K131" s="561"/>
      <c r="L131" s="561"/>
      <c r="M131" s="434"/>
      <c r="N131" s="434"/>
      <c r="O131" s="434"/>
    </row>
    <row r="132" spans="2:37" ht="31" x14ac:dyDescent="0.4">
      <c r="B132" s="16" t="s">
        <v>558</v>
      </c>
      <c r="C132" s="79">
        <f>SUM(C128:C131)</f>
        <v>13.5</v>
      </c>
      <c r="D132" s="80">
        <f>SUM(D128:D131)</f>
        <v>1215.01</v>
      </c>
      <c r="E132" s="80">
        <f>SUM(E52:E131)</f>
        <v>-1352.9</v>
      </c>
      <c r="F132" s="80">
        <f ca="1">SUM(F128:F131)</f>
        <v>0</v>
      </c>
      <c r="G132" s="81">
        <f ca="1">F132/D132</f>
        <v>0</v>
      </c>
      <c r="H132" s="82"/>
      <c r="I132" s="711"/>
      <c r="J132" s="711"/>
      <c r="K132" s="711"/>
      <c r="L132" s="711"/>
      <c r="M132" s="711"/>
      <c r="N132" s="711"/>
      <c r="O132" s="711"/>
    </row>
    <row r="133" spans="2:37" x14ac:dyDescent="0.4">
      <c r="B133" s="76"/>
      <c r="C133" s="83"/>
      <c r="D133" s="421"/>
      <c r="E133" s="421"/>
      <c r="F133" s="421"/>
      <c r="G133" s="84"/>
      <c r="H133" s="17"/>
      <c r="I133" s="61"/>
      <c r="J133" s="61"/>
      <c r="K133" s="61"/>
      <c r="L133" s="17"/>
      <c r="M133" s="17"/>
      <c r="N133" s="17"/>
      <c r="O133" s="17"/>
    </row>
    <row r="134" spans="2:37" x14ac:dyDescent="0.4">
      <c r="B134" s="86"/>
      <c r="C134" s="87"/>
      <c r="D134" s="115"/>
      <c r="E134" s="115"/>
      <c r="F134" s="23"/>
      <c r="G134" s="23"/>
      <c r="H134" s="89"/>
    </row>
    <row r="135" spans="2:37" x14ac:dyDescent="0.4">
      <c r="C135" s="90"/>
      <c r="D135" s="115"/>
      <c r="E135" s="23"/>
      <c r="F135" s="23"/>
      <c r="G135" s="23"/>
      <c r="H135" s="91"/>
    </row>
    <row r="136" spans="2:37" x14ac:dyDescent="0.4">
      <c r="B136" s="95"/>
      <c r="C136" s="96"/>
      <c r="D136" s="23"/>
      <c r="E136" s="23"/>
      <c r="F136" s="23"/>
      <c r="G136" s="23"/>
      <c r="H136" s="97"/>
      <c r="O136" s="129"/>
      <c r="P136" s="129"/>
      <c r="Q136" s="129"/>
      <c r="R136" s="586"/>
      <c r="S136" s="587"/>
    </row>
    <row r="137" spans="2:37" x14ac:dyDescent="0.4">
      <c r="B137" s="100"/>
      <c r="C137" s="101"/>
      <c r="D137" s="102"/>
      <c r="E137" s="102"/>
      <c r="F137" s="103"/>
      <c r="O137" s="588"/>
      <c r="P137" s="588"/>
      <c r="Q137" s="588"/>
      <c r="R137" s="588"/>
      <c r="S137" s="589"/>
    </row>
    <row r="138" spans="2:37" x14ac:dyDescent="0.4">
      <c r="B138" s="100"/>
      <c r="C138" s="101"/>
      <c r="D138" s="102"/>
      <c r="E138" s="102"/>
      <c r="F138" s="103"/>
      <c r="O138" s="591"/>
      <c r="P138" s="591"/>
      <c r="Q138" s="591"/>
      <c r="R138" s="592"/>
      <c r="S138" s="623"/>
    </row>
    <row r="139" spans="2:37" ht="30.5" x14ac:dyDescent="0.65">
      <c r="B139" s="100"/>
      <c r="C139" s="101"/>
      <c r="D139" s="102"/>
      <c r="E139" s="102"/>
      <c r="F139" s="103"/>
      <c r="I139" s="502" t="s">
        <v>598</v>
      </c>
      <c r="O139" s="591"/>
      <c r="P139" s="591"/>
      <c r="Q139" s="591"/>
      <c r="R139" s="592"/>
      <c r="S139" s="623"/>
    </row>
    <row r="140" spans="2:37" x14ac:dyDescent="0.4">
      <c r="B140" s="100"/>
      <c r="C140" s="101"/>
      <c r="D140" s="102"/>
      <c r="E140" s="102"/>
      <c r="F140" s="103"/>
      <c r="I140" s="613" t="s">
        <v>599</v>
      </c>
      <c r="J140" s="613"/>
      <c r="K140" s="613"/>
      <c r="O140" s="591"/>
      <c r="P140" s="593"/>
      <c r="Q140" s="593"/>
      <c r="R140" s="594"/>
      <c r="S140" s="587"/>
    </row>
    <row r="141" spans="2:37" x14ac:dyDescent="0.4">
      <c r="B141" s="100"/>
      <c r="C141" s="101"/>
      <c r="D141" s="102"/>
      <c r="E141" s="102"/>
      <c r="F141" s="103"/>
      <c r="I141" s="92"/>
      <c r="J141" s="93" t="s">
        <v>159</v>
      </c>
      <c r="K141" s="94" t="s">
        <v>24</v>
      </c>
      <c r="O141" s="593"/>
      <c r="P141" s="595"/>
      <c r="Q141" s="593"/>
      <c r="R141" s="594"/>
      <c r="S141" s="587"/>
    </row>
    <row r="142" spans="2:37" x14ac:dyDescent="0.4">
      <c r="B142" s="100"/>
      <c r="C142" s="101"/>
      <c r="D142" s="102"/>
      <c r="E142" s="102"/>
      <c r="F142" s="103"/>
      <c r="I142" s="92" t="s">
        <v>18</v>
      </c>
      <c r="J142" s="98">
        <f ca="1">D94-F94</f>
        <v>48695.45286037925</v>
      </c>
      <c r="K142" s="99">
        <f ca="1">J142/D94</f>
        <v>0.80546021641376209</v>
      </c>
      <c r="M142" s="620"/>
      <c r="N142" s="620"/>
      <c r="O142" s="591"/>
      <c r="P142" s="591"/>
      <c r="Q142" s="591"/>
      <c r="R142" s="594"/>
      <c r="S142" s="587"/>
    </row>
    <row r="143" spans="2:37" ht="18.5" thickBot="1" x14ac:dyDescent="0.45">
      <c r="B143" s="100"/>
      <c r="C143" s="101"/>
      <c r="D143" s="102"/>
      <c r="E143" s="102"/>
      <c r="F143" s="103"/>
      <c r="I143" s="104" t="s">
        <v>5</v>
      </c>
      <c r="J143" s="105">
        <f ca="1">F94</f>
        <v>11761.229999999998</v>
      </c>
      <c r="K143" s="106">
        <f ca="1">J143/D94</f>
        <v>0.19453978358623791</v>
      </c>
      <c r="M143" s="621"/>
      <c r="N143" s="621"/>
    </row>
    <row r="144" spans="2:37" ht="28.5" customHeight="1" thickTop="1" x14ac:dyDescent="0.4">
      <c r="B144" s="100"/>
      <c r="C144" s="101"/>
      <c r="I144" s="108" t="s">
        <v>17</v>
      </c>
      <c r="J144" s="604">
        <f ca="1">SUM(J142:J143)</f>
        <v>60456.682860379246</v>
      </c>
      <c r="K144" s="605">
        <f ca="1">SUM(K142:K143)</f>
        <v>1</v>
      </c>
      <c r="M144" s="622"/>
      <c r="N144" s="590"/>
    </row>
    <row r="145" spans="9:14" x14ac:dyDescent="0.4">
      <c r="M145" s="622"/>
      <c r="N145" s="590"/>
    </row>
    <row r="146" spans="9:14" x14ac:dyDescent="0.4">
      <c r="I146" s="612" t="s">
        <v>361</v>
      </c>
      <c r="J146" s="501"/>
      <c r="K146" s="501"/>
      <c r="M146" s="601"/>
      <c r="N146" s="601"/>
    </row>
    <row r="147" spans="9:14" x14ac:dyDescent="0.4">
      <c r="I147" s="92"/>
      <c r="J147" s="93" t="s">
        <v>159</v>
      </c>
      <c r="K147" s="94" t="s">
        <v>24</v>
      </c>
      <c r="M147" s="601"/>
      <c r="N147" s="601"/>
    </row>
    <row r="148" spans="9:14" x14ac:dyDescent="0.4">
      <c r="I148" s="92" t="s">
        <v>18</v>
      </c>
      <c r="J148" s="98">
        <f ca="1">V112-W112</f>
        <v>919.92999999999984</v>
      </c>
      <c r="K148" s="99">
        <f ca="1">J148/J150</f>
        <v>0.90025052355508572</v>
      </c>
      <c r="M148" s="129"/>
      <c r="N148" s="129"/>
    </row>
    <row r="149" spans="9:14" ht="18.5" thickBot="1" x14ac:dyDescent="0.45">
      <c r="I149" s="104" t="s">
        <v>5</v>
      </c>
      <c r="J149" s="105">
        <f ca="1">W112</f>
        <v>101.93</v>
      </c>
      <c r="K149" s="106">
        <f ca="1">J149/J150</f>
        <v>9.9749476444914192E-2</v>
      </c>
    </row>
    <row r="150" spans="9:14" ht="28.5" customHeight="1" thickTop="1" x14ac:dyDescent="0.4">
      <c r="I150" s="108" t="s">
        <v>17</v>
      </c>
      <c r="J150" s="604">
        <f ca="1">SUM(J148:J149)</f>
        <v>1021.8599999999999</v>
      </c>
      <c r="K150" s="605">
        <f ca="1">SUM(K148:K149)</f>
        <v>0.99999999999999989</v>
      </c>
    </row>
    <row r="152" spans="9:14" x14ac:dyDescent="0.4">
      <c r="I152" s="612" t="s">
        <v>3</v>
      </c>
      <c r="J152" s="501"/>
      <c r="K152" s="501"/>
    </row>
    <row r="153" spans="9:14" x14ac:dyDescent="0.4">
      <c r="I153" s="92"/>
      <c r="J153" s="93" t="s">
        <v>159</v>
      </c>
      <c r="K153" s="94" t="s">
        <v>24</v>
      </c>
    </row>
    <row r="154" spans="9:14" x14ac:dyDescent="0.4">
      <c r="I154" s="92" t="s">
        <v>18</v>
      </c>
      <c r="J154" s="98">
        <f ca="1">D123-F123</f>
        <v>2809.46</v>
      </c>
      <c r="K154" s="99">
        <f ca="1">J154/J156</f>
        <v>0.96455191213680735</v>
      </c>
    </row>
    <row r="155" spans="9:14" ht="18.5" thickBot="1" x14ac:dyDescent="0.45">
      <c r="I155" s="104" t="s">
        <v>5</v>
      </c>
      <c r="J155" s="105">
        <f ca="1">F123</f>
        <v>103.25</v>
      </c>
      <c r="K155" s="106">
        <f ca="1">J155/J156</f>
        <v>3.5448087863192694E-2</v>
      </c>
    </row>
    <row r="156" spans="9:14" ht="28.5" customHeight="1" thickTop="1" x14ac:dyDescent="0.4">
      <c r="I156" s="108" t="s">
        <v>17</v>
      </c>
      <c r="J156" s="604">
        <f ca="1">SUM(J154:J155)</f>
        <v>2912.71</v>
      </c>
      <c r="K156" s="605">
        <f ca="1">SUM(K154:K155)</f>
        <v>1</v>
      </c>
    </row>
    <row r="158" spans="9:14" x14ac:dyDescent="0.4">
      <c r="I158" s="612" t="s">
        <v>362</v>
      </c>
      <c r="J158" s="501"/>
      <c r="K158" s="501"/>
    </row>
    <row r="159" spans="9:14" x14ac:dyDescent="0.4">
      <c r="I159" s="92"/>
      <c r="J159" s="93" t="s">
        <v>159</v>
      </c>
      <c r="K159" s="94" t="s">
        <v>24</v>
      </c>
    </row>
    <row r="160" spans="9:14" x14ac:dyDescent="0.4">
      <c r="I160" s="92" t="s">
        <v>18</v>
      </c>
      <c r="J160" s="98">
        <f>D132</f>
        <v>1215.01</v>
      </c>
      <c r="K160" s="99">
        <f ca="1">J160/J162</f>
        <v>1</v>
      </c>
    </row>
    <row r="161" spans="9:14" ht="18.5" thickBot="1" x14ac:dyDescent="0.45">
      <c r="I161" s="104" t="s">
        <v>5</v>
      </c>
      <c r="J161" s="105">
        <f ca="1">F132</f>
        <v>0</v>
      </c>
      <c r="K161" s="106">
        <f ca="1">J161/J162</f>
        <v>0</v>
      </c>
    </row>
    <row r="162" spans="9:14" ht="28.5" customHeight="1" thickTop="1" x14ac:dyDescent="0.4">
      <c r="I162" s="108" t="s">
        <v>17</v>
      </c>
      <c r="J162" s="604">
        <f ca="1">SUM(J160:J161)</f>
        <v>1215.01</v>
      </c>
      <c r="K162" s="605">
        <f ca="1">SUM(K160:K161)</f>
        <v>1</v>
      </c>
    </row>
    <row r="164" spans="9:14" ht="32.5" customHeight="1" x14ac:dyDescent="0.4">
      <c r="I164" s="614" t="s">
        <v>594</v>
      </c>
      <c r="J164" s="602"/>
      <c r="K164" s="602"/>
      <c r="L164" s="602"/>
      <c r="M164" s="602"/>
      <c r="N164" s="603"/>
    </row>
    <row r="165" spans="9:14" x14ac:dyDescent="0.4">
      <c r="I165" s="92"/>
      <c r="J165" s="93" t="s">
        <v>596</v>
      </c>
      <c r="K165" s="94" t="s">
        <v>18</v>
      </c>
      <c r="L165" s="94" t="s">
        <v>5</v>
      </c>
      <c r="M165" s="94"/>
      <c r="N165" s="94" t="s">
        <v>597</v>
      </c>
    </row>
    <row r="166" spans="9:14" x14ac:dyDescent="0.4">
      <c r="I166" s="104" t="s">
        <v>365</v>
      </c>
      <c r="J166" s="610">
        <f ca="1">J144</f>
        <v>60456.682860379246</v>
      </c>
      <c r="K166" s="611">
        <f ca="1">J142</f>
        <v>48695.45286037925</v>
      </c>
      <c r="L166" s="611">
        <f ca="1">J143</f>
        <v>11761.229999999998</v>
      </c>
      <c r="M166" s="106">
        <f ca="1">K142</f>
        <v>0.80546021641376209</v>
      </c>
      <c r="N166" s="618">
        <f ca="1">SUM(K166:K167)/SUM(J166:J167)</f>
        <v>0.80703576486934947</v>
      </c>
    </row>
    <row r="167" spans="9:14" x14ac:dyDescent="0.4">
      <c r="I167" s="606" t="s">
        <v>595</v>
      </c>
      <c r="J167" s="607">
        <f ca="1">J150</f>
        <v>1021.8599999999999</v>
      </c>
      <c r="K167" s="608">
        <f ca="1">J148</f>
        <v>919.92999999999984</v>
      </c>
      <c r="L167" s="608">
        <f ca="1">J149</f>
        <v>101.93</v>
      </c>
      <c r="M167" s="609">
        <f ca="1">K148</f>
        <v>0.90025052355508572</v>
      </c>
      <c r="N167" s="619"/>
    </row>
    <row r="168" spans="9:14" x14ac:dyDescent="0.4">
      <c r="I168" s="92" t="s">
        <v>3</v>
      </c>
      <c r="J168" s="597">
        <f ca="1">J156</f>
        <v>2912.71</v>
      </c>
      <c r="K168" s="596">
        <f ca="1">J154</f>
        <v>2809.46</v>
      </c>
      <c r="L168" s="596">
        <f ca="1">J155</f>
        <v>103.25</v>
      </c>
      <c r="M168" s="598"/>
      <c r="N168" s="598">
        <f ca="1">K154</f>
        <v>0.96455191213680735</v>
      </c>
    </row>
    <row r="169" spans="9:14" x14ac:dyDescent="0.4">
      <c r="I169" s="92" t="s">
        <v>362</v>
      </c>
      <c r="J169" s="597">
        <f ca="1">J162</f>
        <v>1215.01</v>
      </c>
      <c r="K169" s="596">
        <f>J160</f>
        <v>1215.01</v>
      </c>
      <c r="L169" s="596">
        <f ca="1">J161</f>
        <v>0</v>
      </c>
      <c r="M169" s="598"/>
      <c r="N169" s="598">
        <f ca="1">K160</f>
        <v>1</v>
      </c>
    </row>
    <row r="170" spans="9:14" ht="28.5" customHeight="1" x14ac:dyDescent="0.4">
      <c r="I170" s="92" t="s">
        <v>17</v>
      </c>
      <c r="J170" s="599">
        <f ca="1">SUM(J166:J169)</f>
        <v>65606.26286037924</v>
      </c>
      <c r="K170" s="599">
        <f t="shared" ref="K170:L170" ca="1" si="63">SUM(K166:K169)</f>
        <v>53639.852860379251</v>
      </c>
      <c r="L170" s="599">
        <f t="shared" ca="1" si="63"/>
        <v>11966.409999999998</v>
      </c>
      <c r="M170" s="600"/>
      <c r="N170" s="615">
        <f ca="1">K170/J170</f>
        <v>0.81760262697074437</v>
      </c>
    </row>
  </sheetData>
  <mergeCells count="678">
    <mergeCell ref="U86:U87"/>
    <mergeCell ref="U88:U89"/>
    <mergeCell ref="U90:U91"/>
    <mergeCell ref="U92:U93"/>
    <mergeCell ref="U94:U95"/>
    <mergeCell ref="U96:U97"/>
    <mergeCell ref="U102:U103"/>
    <mergeCell ref="U104:U105"/>
    <mergeCell ref="U106:U107"/>
    <mergeCell ref="U98:U99"/>
    <mergeCell ref="U67:U68"/>
    <mergeCell ref="U69:U70"/>
    <mergeCell ref="U71:U72"/>
    <mergeCell ref="U73:U74"/>
    <mergeCell ref="U75:U76"/>
    <mergeCell ref="U78:U79"/>
    <mergeCell ref="U80:U81"/>
    <mergeCell ref="U82:U83"/>
    <mergeCell ref="U84:U85"/>
    <mergeCell ref="U46:U47"/>
    <mergeCell ref="U49:U50"/>
    <mergeCell ref="U51:U52"/>
    <mergeCell ref="U53:U54"/>
    <mergeCell ref="U55:U56"/>
    <mergeCell ref="U57:U58"/>
    <mergeCell ref="U59:U60"/>
    <mergeCell ref="U63:U64"/>
    <mergeCell ref="U65:U66"/>
    <mergeCell ref="X106:X107"/>
    <mergeCell ref="V108:V109"/>
    <mergeCell ref="W108:W109"/>
    <mergeCell ref="X108:X109"/>
    <mergeCell ref="U4:U5"/>
    <mergeCell ref="U7:U8"/>
    <mergeCell ref="U9:U10"/>
    <mergeCell ref="U11:U12"/>
    <mergeCell ref="U13:U14"/>
    <mergeCell ref="U16:U17"/>
    <mergeCell ref="U18:U19"/>
    <mergeCell ref="U20:U21"/>
    <mergeCell ref="U22:U23"/>
    <mergeCell ref="U24:U25"/>
    <mergeCell ref="U26:U27"/>
    <mergeCell ref="U28:U29"/>
    <mergeCell ref="U30:U31"/>
    <mergeCell ref="U32:U33"/>
    <mergeCell ref="U34:U35"/>
    <mergeCell ref="U36:U37"/>
    <mergeCell ref="U38:U39"/>
    <mergeCell ref="U40:U41"/>
    <mergeCell ref="U42:U43"/>
    <mergeCell ref="U44:U45"/>
    <mergeCell ref="X96:X97"/>
    <mergeCell ref="V98:V99"/>
    <mergeCell ref="W98:W99"/>
    <mergeCell ref="X98:X99"/>
    <mergeCell ref="V100:V101"/>
    <mergeCell ref="W100:W101"/>
    <mergeCell ref="X100:X101"/>
    <mergeCell ref="V104:V105"/>
    <mergeCell ref="X104:X105"/>
    <mergeCell ref="V96:V97"/>
    <mergeCell ref="W96:W97"/>
    <mergeCell ref="X102:X103"/>
    <mergeCell ref="I132:O132"/>
    <mergeCell ref="F104:F105"/>
    <mergeCell ref="G104:G105"/>
    <mergeCell ref="B106:B108"/>
    <mergeCell ref="D106:D108"/>
    <mergeCell ref="F106:F108"/>
    <mergeCell ref="G106:G108"/>
    <mergeCell ref="B130:B131"/>
    <mergeCell ref="C130:C131"/>
    <mergeCell ref="D130:D131"/>
    <mergeCell ref="E130:E131"/>
    <mergeCell ref="F130:F131"/>
    <mergeCell ref="G130:G131"/>
    <mergeCell ref="B104:B105"/>
    <mergeCell ref="D104:D105"/>
    <mergeCell ref="B126:B127"/>
    <mergeCell ref="C126:C127"/>
    <mergeCell ref="F126:G126"/>
    <mergeCell ref="I126:O126"/>
    <mergeCell ref="B128:B129"/>
    <mergeCell ref="C128:C129"/>
    <mergeCell ref="D128:D129"/>
    <mergeCell ref="E128:E129"/>
    <mergeCell ref="F128:F129"/>
    <mergeCell ref="G128:G129"/>
    <mergeCell ref="AB2:AB3"/>
    <mergeCell ref="B97:B98"/>
    <mergeCell ref="C97:C98"/>
    <mergeCell ref="F97:G97"/>
    <mergeCell ref="I97:O97"/>
    <mergeCell ref="B113:B114"/>
    <mergeCell ref="C113:C114"/>
    <mergeCell ref="D113:D114"/>
    <mergeCell ref="E113:E114"/>
    <mergeCell ref="F113:F114"/>
    <mergeCell ref="G113:G114"/>
    <mergeCell ref="B121:B122"/>
    <mergeCell ref="C121:C122"/>
    <mergeCell ref="D121:D122"/>
    <mergeCell ref="E121:E122"/>
    <mergeCell ref="F121:F122"/>
    <mergeCell ref="G121:G122"/>
    <mergeCell ref="B119:B120"/>
    <mergeCell ref="C119:C120"/>
    <mergeCell ref="D119:D120"/>
    <mergeCell ref="E119:E120"/>
    <mergeCell ref="F119:F120"/>
    <mergeCell ref="G119:G120"/>
    <mergeCell ref="B117:B118"/>
    <mergeCell ref="C117:C118"/>
    <mergeCell ref="D117:D118"/>
    <mergeCell ref="E117:E118"/>
    <mergeCell ref="F117:F118"/>
    <mergeCell ref="G117:G118"/>
    <mergeCell ref="M117:O117"/>
    <mergeCell ref="M118:O118"/>
    <mergeCell ref="F115:F116"/>
    <mergeCell ref="G115:G116"/>
    <mergeCell ref="B115:B116"/>
    <mergeCell ref="C115:C116"/>
    <mergeCell ref="D115:D116"/>
    <mergeCell ref="E115:E116"/>
    <mergeCell ref="B111:B112"/>
    <mergeCell ref="C111:C112"/>
    <mergeCell ref="D111:D112"/>
    <mergeCell ref="E111:E112"/>
    <mergeCell ref="F111:F112"/>
    <mergeCell ref="G111:G112"/>
    <mergeCell ref="W102:W103"/>
    <mergeCell ref="W104:W105"/>
    <mergeCell ref="V102:V103"/>
    <mergeCell ref="C106:C107"/>
    <mergeCell ref="E106:E107"/>
    <mergeCell ref="B109:B110"/>
    <mergeCell ref="C109:C110"/>
    <mergeCell ref="D109:D110"/>
    <mergeCell ref="E109:E110"/>
    <mergeCell ref="F109:F110"/>
    <mergeCell ref="G109:G110"/>
    <mergeCell ref="V106:V107"/>
    <mergeCell ref="W106:W107"/>
    <mergeCell ref="U108:U109"/>
    <mergeCell ref="U110:U111"/>
    <mergeCell ref="E101:E102"/>
    <mergeCell ref="U100:U101"/>
    <mergeCell ref="F99:F100"/>
    <mergeCell ref="G99:G100"/>
    <mergeCell ref="AH99:AH100"/>
    <mergeCell ref="AI99:AI100"/>
    <mergeCell ref="B99:B100"/>
    <mergeCell ref="C99:C100"/>
    <mergeCell ref="D99:D100"/>
    <mergeCell ref="E99:E100"/>
    <mergeCell ref="C101:C102"/>
    <mergeCell ref="B101:B103"/>
    <mergeCell ref="D101:D103"/>
    <mergeCell ref="F101:F103"/>
    <mergeCell ref="G101:G103"/>
    <mergeCell ref="Q127:Q128"/>
    <mergeCell ref="AH111:AH112"/>
    <mergeCell ref="AI111:AI112"/>
    <mergeCell ref="AJ111:AJ112"/>
    <mergeCell ref="AH113:AH114"/>
    <mergeCell ref="AI113:AI114"/>
    <mergeCell ref="AJ113:AJ114"/>
    <mergeCell ref="V110:V111"/>
    <mergeCell ref="W110:W111"/>
    <mergeCell ref="X110:X111"/>
    <mergeCell ref="V28:V29"/>
    <mergeCell ref="V30:V31"/>
    <mergeCell ref="V32:V33"/>
    <mergeCell ref="V34:V35"/>
    <mergeCell ref="V36:V37"/>
    <mergeCell ref="I34:N34"/>
    <mergeCell ref="I35:N35"/>
    <mergeCell ref="I26:N26"/>
    <mergeCell ref="I29:N29"/>
    <mergeCell ref="I30:N30"/>
    <mergeCell ref="I33:N33"/>
    <mergeCell ref="L36:N36"/>
    <mergeCell ref="L37:N37"/>
    <mergeCell ref="W92:W93"/>
    <mergeCell ref="X92:X93"/>
    <mergeCell ref="W90:W91"/>
    <mergeCell ref="W86:W87"/>
    <mergeCell ref="W82:W83"/>
    <mergeCell ref="W57:W58"/>
    <mergeCell ref="Y94:AE94"/>
    <mergeCell ref="V22:V23"/>
    <mergeCell ref="V24:V25"/>
    <mergeCell ref="W94:X94"/>
    <mergeCell ref="X82:X83"/>
    <mergeCell ref="X57:X58"/>
    <mergeCell ref="X59:X60"/>
    <mergeCell ref="X61:X62"/>
    <mergeCell ref="X86:X87"/>
    <mergeCell ref="X63:X64"/>
    <mergeCell ref="X88:X89"/>
    <mergeCell ref="X84:X85"/>
    <mergeCell ref="V57:V58"/>
    <mergeCell ref="V90:V91"/>
    <mergeCell ref="V88:V89"/>
    <mergeCell ref="V92:V93"/>
    <mergeCell ref="X80:X81"/>
    <mergeCell ref="V38:V39"/>
    <mergeCell ref="I123:O123"/>
    <mergeCell ref="M120:O120"/>
    <mergeCell ref="I64:K64"/>
    <mergeCell ref="M119:O119"/>
    <mergeCell ref="I89:O89"/>
    <mergeCell ref="I90:L90"/>
    <mergeCell ref="I91:L91"/>
    <mergeCell ref="I70:K70"/>
    <mergeCell ref="I71:O71"/>
    <mergeCell ref="I72:O72"/>
    <mergeCell ref="I67:L67"/>
    <mergeCell ref="I65:O65"/>
    <mergeCell ref="I66:O66"/>
    <mergeCell ref="I94:O94"/>
    <mergeCell ref="I82:O82"/>
    <mergeCell ref="I83:O83"/>
    <mergeCell ref="I87:J87"/>
    <mergeCell ref="K86:O86"/>
    <mergeCell ref="K87:O87"/>
    <mergeCell ref="I88:O88"/>
    <mergeCell ref="AI97:AJ97"/>
    <mergeCell ref="AH105:AH106"/>
    <mergeCell ref="AI105:AI106"/>
    <mergeCell ref="AJ105:AJ106"/>
    <mergeCell ref="AH107:AH108"/>
    <mergeCell ref="AI107:AI108"/>
    <mergeCell ref="AJ107:AJ108"/>
    <mergeCell ref="AJ109:AJ110"/>
    <mergeCell ref="AI109:AI110"/>
    <mergeCell ref="AH109:AH110"/>
    <mergeCell ref="AJ103:AJ104"/>
    <mergeCell ref="AJ99:AJ100"/>
    <mergeCell ref="AJ101:AJ102"/>
    <mergeCell ref="AH101:AH102"/>
    <mergeCell ref="AI101:AI102"/>
    <mergeCell ref="AH103:AH104"/>
    <mergeCell ref="AI103:AI104"/>
    <mergeCell ref="G90:G91"/>
    <mergeCell ref="J55:L55"/>
    <mergeCell ref="J56:L56"/>
    <mergeCell ref="I25:N25"/>
    <mergeCell ref="L40:N40"/>
    <mergeCell ref="I63:K63"/>
    <mergeCell ref="I38:J38"/>
    <mergeCell ref="M91:O91"/>
    <mergeCell ref="I75:O75"/>
    <mergeCell ref="I76:O76"/>
    <mergeCell ref="G44:G45"/>
    <mergeCell ref="J61:L61"/>
    <mergeCell ref="I41:K41"/>
    <mergeCell ref="J44:L44"/>
    <mergeCell ref="I59:O59"/>
    <mergeCell ref="I46:L46"/>
    <mergeCell ref="J45:L45"/>
    <mergeCell ref="I57:O57"/>
    <mergeCell ref="M47:O47"/>
    <mergeCell ref="I47:L47"/>
    <mergeCell ref="K49:O49"/>
    <mergeCell ref="L38:M38"/>
    <mergeCell ref="L39:M39"/>
    <mergeCell ref="K42:N42"/>
    <mergeCell ref="I58:O58"/>
    <mergeCell ref="D7:D8"/>
    <mergeCell ref="D9:D10"/>
    <mergeCell ref="D13:D14"/>
    <mergeCell ref="I14:O14"/>
    <mergeCell ref="I16:N16"/>
    <mergeCell ref="K50:O50"/>
    <mergeCell ref="M51:O51"/>
    <mergeCell ref="M52:O52"/>
    <mergeCell ref="M53:N53"/>
    <mergeCell ref="M54:N54"/>
    <mergeCell ref="E28:E29"/>
    <mergeCell ref="E30:E31"/>
    <mergeCell ref="E32:E33"/>
    <mergeCell ref="E34:E35"/>
    <mergeCell ref="E36:E37"/>
    <mergeCell ref="E38:E39"/>
    <mergeCell ref="I20:K20"/>
    <mergeCell ref="I21:K21"/>
    <mergeCell ref="K43:N43"/>
    <mergeCell ref="I40:K40"/>
    <mergeCell ref="D57:D58"/>
    <mergeCell ref="F46:F47"/>
    <mergeCell ref="F49:F50"/>
    <mergeCell ref="G88:G89"/>
    <mergeCell ref="G69:G70"/>
    <mergeCell ref="I86:J86"/>
    <mergeCell ref="I74:O74"/>
    <mergeCell ref="M67:O67"/>
    <mergeCell ref="M68:O68"/>
    <mergeCell ref="I69:K69"/>
    <mergeCell ref="F69:F70"/>
    <mergeCell ref="F88:F89"/>
    <mergeCell ref="F82:F83"/>
    <mergeCell ref="C88:C89"/>
    <mergeCell ref="E82:E83"/>
    <mergeCell ref="E84:E85"/>
    <mergeCell ref="D88:D89"/>
    <mergeCell ref="B88:B89"/>
    <mergeCell ref="D90:D91"/>
    <mergeCell ref="E65:E66"/>
    <mergeCell ref="E86:E87"/>
    <mergeCell ref="E88:E89"/>
    <mergeCell ref="D84:D85"/>
    <mergeCell ref="D86:D87"/>
    <mergeCell ref="B86:B87"/>
    <mergeCell ref="D80:D81"/>
    <mergeCell ref="B80:B81"/>
    <mergeCell ref="B73:B74"/>
    <mergeCell ref="B78:B79"/>
    <mergeCell ref="B69:B70"/>
    <mergeCell ref="B71:B72"/>
    <mergeCell ref="D82:D83"/>
    <mergeCell ref="E71:E72"/>
    <mergeCell ref="D71:D72"/>
    <mergeCell ref="F90:F91"/>
    <mergeCell ref="B82:B83"/>
    <mergeCell ref="G82:G83"/>
    <mergeCell ref="B84:B85"/>
    <mergeCell ref="G84:G85"/>
    <mergeCell ref="F84:F85"/>
    <mergeCell ref="F86:F87"/>
    <mergeCell ref="F32:F33"/>
    <mergeCell ref="F34:F35"/>
    <mergeCell ref="B42:B43"/>
    <mergeCell ref="E51:E52"/>
    <mergeCell ref="B38:B39"/>
    <mergeCell ref="B32:B33"/>
    <mergeCell ref="D61:D62"/>
    <mergeCell ref="G86:G87"/>
    <mergeCell ref="B34:B35"/>
    <mergeCell ref="B63:B64"/>
    <mergeCell ref="G63:G64"/>
    <mergeCell ref="B57:B58"/>
    <mergeCell ref="G57:G58"/>
    <mergeCell ref="B59:B60"/>
    <mergeCell ref="C82:C83"/>
    <mergeCell ref="C84:C85"/>
    <mergeCell ref="C86:C87"/>
    <mergeCell ref="B4:B5"/>
    <mergeCell ref="F11:F12"/>
    <mergeCell ref="G11:G12"/>
    <mergeCell ref="C20:C21"/>
    <mergeCell ref="D16:D17"/>
    <mergeCell ref="D20:D21"/>
    <mergeCell ref="D22:D23"/>
    <mergeCell ref="C22:C23"/>
    <mergeCell ref="C13:C14"/>
    <mergeCell ref="D18:D19"/>
    <mergeCell ref="C16:C17"/>
    <mergeCell ref="C18:C19"/>
    <mergeCell ref="C7:C8"/>
    <mergeCell ref="B7:B8"/>
    <mergeCell ref="C9:C10"/>
    <mergeCell ref="B18:B19"/>
    <mergeCell ref="G20:G21"/>
    <mergeCell ref="G13:G14"/>
    <mergeCell ref="B16:B17"/>
    <mergeCell ref="B20:B21"/>
    <mergeCell ref="B11:B12"/>
    <mergeCell ref="D11:D12"/>
    <mergeCell ref="B13:B14"/>
    <mergeCell ref="B9:B10"/>
    <mergeCell ref="I4:O4"/>
    <mergeCell ref="F4:G4"/>
    <mergeCell ref="C4:C5"/>
    <mergeCell ref="F26:F27"/>
    <mergeCell ref="F28:F29"/>
    <mergeCell ref="F9:F10"/>
    <mergeCell ref="F13:F14"/>
    <mergeCell ref="F16:F17"/>
    <mergeCell ref="F18:F19"/>
    <mergeCell ref="I8:O8"/>
    <mergeCell ref="I7:O7"/>
    <mergeCell ref="I9:O9"/>
    <mergeCell ref="I10:O10"/>
    <mergeCell ref="I13:O13"/>
    <mergeCell ref="I11:O11"/>
    <mergeCell ref="I12:O12"/>
    <mergeCell ref="F24:F25"/>
    <mergeCell ref="I19:N19"/>
    <mergeCell ref="I24:N24"/>
    <mergeCell ref="I27:N27"/>
    <mergeCell ref="G9:G10"/>
    <mergeCell ref="F20:F21"/>
    <mergeCell ref="F51:F52"/>
    <mergeCell ref="D51:D52"/>
    <mergeCell ref="E49:E50"/>
    <mergeCell ref="G51:G52"/>
    <mergeCell ref="B40:B41"/>
    <mergeCell ref="G46:G47"/>
    <mergeCell ref="F44:F45"/>
    <mergeCell ref="G42:G43"/>
    <mergeCell ref="F42:F43"/>
    <mergeCell ref="C38:C39"/>
    <mergeCell ref="C30:C31"/>
    <mergeCell ref="G34:G35"/>
    <mergeCell ref="F36:F37"/>
    <mergeCell ref="D32:D33"/>
    <mergeCell ref="B26:B27"/>
    <mergeCell ref="B28:B29"/>
    <mergeCell ref="G26:G27"/>
    <mergeCell ref="D34:D35"/>
    <mergeCell ref="B53:B54"/>
    <mergeCell ref="G30:G31"/>
    <mergeCell ref="G22:G23"/>
    <mergeCell ref="C24:C25"/>
    <mergeCell ref="C26:C27"/>
    <mergeCell ref="C28:C29"/>
    <mergeCell ref="G49:G50"/>
    <mergeCell ref="D30:D31"/>
    <mergeCell ref="D38:D39"/>
    <mergeCell ref="D40:D41"/>
    <mergeCell ref="D42:D43"/>
    <mergeCell ref="D44:D45"/>
    <mergeCell ref="D46:D47"/>
    <mergeCell ref="D49:D50"/>
    <mergeCell ref="D36:D37"/>
    <mergeCell ref="G28:G29"/>
    <mergeCell ref="C46:C47"/>
    <mergeCell ref="C49:C50"/>
    <mergeCell ref="C51:C52"/>
    <mergeCell ref="F53:F54"/>
    <mergeCell ref="C44:C45"/>
    <mergeCell ref="C32:C33"/>
    <mergeCell ref="C34:C35"/>
    <mergeCell ref="C36:C37"/>
    <mergeCell ref="B61:B62"/>
    <mergeCell ref="G61:G62"/>
    <mergeCell ref="F67:F68"/>
    <mergeCell ref="F71:F72"/>
    <mergeCell ref="C67:C68"/>
    <mergeCell ref="C69:C70"/>
    <mergeCell ref="D78:D79"/>
    <mergeCell ref="B44:B45"/>
    <mergeCell ref="B46:B47"/>
    <mergeCell ref="C53:C54"/>
    <mergeCell ref="C55:C56"/>
    <mergeCell ref="B51:B52"/>
    <mergeCell ref="B65:B66"/>
    <mergeCell ref="B67:B68"/>
    <mergeCell ref="B75:B76"/>
    <mergeCell ref="G59:G60"/>
    <mergeCell ref="F57:F58"/>
    <mergeCell ref="F59:F60"/>
    <mergeCell ref="F61:F62"/>
    <mergeCell ref="F63:F64"/>
    <mergeCell ref="C57:C58"/>
    <mergeCell ref="C73:C74"/>
    <mergeCell ref="D65:D66"/>
    <mergeCell ref="C65:C66"/>
    <mergeCell ref="J62:L62"/>
    <mergeCell ref="I60:O60"/>
    <mergeCell ref="G71:G72"/>
    <mergeCell ref="G67:G68"/>
    <mergeCell ref="G78:G79"/>
    <mergeCell ref="G80:G81"/>
    <mergeCell ref="G73:G74"/>
    <mergeCell ref="G75:G76"/>
    <mergeCell ref="E59:E60"/>
    <mergeCell ref="E67:E68"/>
    <mergeCell ref="E69:E70"/>
    <mergeCell ref="E61:E62"/>
    <mergeCell ref="E63:E64"/>
    <mergeCell ref="G65:G66"/>
    <mergeCell ref="F65:F66"/>
    <mergeCell ref="D63:D64"/>
    <mergeCell ref="C63:C64"/>
    <mergeCell ref="L81:O81"/>
    <mergeCell ref="D59:D60"/>
    <mergeCell ref="C59:C60"/>
    <mergeCell ref="C61:C62"/>
    <mergeCell ref="Q73:Q74"/>
    <mergeCell ref="J85:L85"/>
    <mergeCell ref="M85:O85"/>
    <mergeCell ref="L69:O69"/>
    <mergeCell ref="L70:O70"/>
    <mergeCell ref="C75:C76"/>
    <mergeCell ref="C78:C79"/>
    <mergeCell ref="C80:C81"/>
    <mergeCell ref="F75:F76"/>
    <mergeCell ref="F78:F79"/>
    <mergeCell ref="F80:F81"/>
    <mergeCell ref="D75:D76"/>
    <mergeCell ref="F73:F74"/>
    <mergeCell ref="E80:E81"/>
    <mergeCell ref="E73:E74"/>
    <mergeCell ref="E75:E76"/>
    <mergeCell ref="E78:E79"/>
    <mergeCell ref="D73:D74"/>
    <mergeCell ref="X2:X3"/>
    <mergeCell ref="X65:X66"/>
    <mergeCell ref="X67:X68"/>
    <mergeCell ref="X69:X70"/>
    <mergeCell ref="X71:X72"/>
    <mergeCell ref="X73:X74"/>
    <mergeCell ref="X75:X76"/>
    <mergeCell ref="X78:X79"/>
    <mergeCell ref="W4:X4"/>
    <mergeCell ref="W16:W17"/>
    <mergeCell ref="W18:W19"/>
    <mergeCell ref="X26:X27"/>
    <mergeCell ref="X53:X54"/>
    <mergeCell ref="X55:X56"/>
    <mergeCell ref="W26:W27"/>
    <mergeCell ref="W42:W43"/>
    <mergeCell ref="W28:W29"/>
    <mergeCell ref="W61:W62"/>
    <mergeCell ref="W63:W64"/>
    <mergeCell ref="X28:X29"/>
    <mergeCell ref="W49:W50"/>
    <mergeCell ref="W51:W52"/>
    <mergeCell ref="X44:X45"/>
    <mergeCell ref="W53:W54"/>
    <mergeCell ref="Y4:AB4"/>
    <mergeCell ref="V63:V64"/>
    <mergeCell ref="V65:V66"/>
    <mergeCell ref="V67:V68"/>
    <mergeCell ref="V69:V70"/>
    <mergeCell ref="V71:V72"/>
    <mergeCell ref="V73:V74"/>
    <mergeCell ref="V75:V76"/>
    <mergeCell ref="V78:V79"/>
    <mergeCell ref="V44:V45"/>
    <mergeCell ref="V46:V47"/>
    <mergeCell ref="V49:V50"/>
    <mergeCell ref="V51:V52"/>
    <mergeCell ref="V53:V54"/>
    <mergeCell ref="V55:V56"/>
    <mergeCell ref="W44:W45"/>
    <mergeCell ref="X46:X47"/>
    <mergeCell ref="X49:X50"/>
    <mergeCell ref="X51:X52"/>
    <mergeCell ref="V7:V8"/>
    <mergeCell ref="V61:V62"/>
    <mergeCell ref="V40:V41"/>
    <mergeCell ref="V42:V43"/>
    <mergeCell ref="V26:V27"/>
    <mergeCell ref="E92:E93"/>
    <mergeCell ref="M90:O90"/>
    <mergeCell ref="F7:F8"/>
    <mergeCell ref="G16:G17"/>
    <mergeCell ref="G7:G8"/>
    <mergeCell ref="G40:G41"/>
    <mergeCell ref="F40:F41"/>
    <mergeCell ref="E7:E8"/>
    <mergeCell ref="E9:E10"/>
    <mergeCell ref="E13:E14"/>
    <mergeCell ref="E16:E17"/>
    <mergeCell ref="E18:E19"/>
    <mergeCell ref="E20:E21"/>
    <mergeCell ref="E22:E23"/>
    <mergeCell ref="E24:E25"/>
    <mergeCell ref="E26:E27"/>
    <mergeCell ref="G18:G19"/>
    <mergeCell ref="I28:N28"/>
    <mergeCell ref="L41:N41"/>
    <mergeCell ref="I39:J39"/>
    <mergeCell ref="I43:J43"/>
    <mergeCell ref="I42:J42"/>
    <mergeCell ref="I17:N17"/>
    <mergeCell ref="I18:N18"/>
    <mergeCell ref="W88:W89"/>
    <mergeCell ref="W65:W66"/>
    <mergeCell ref="W67:W68"/>
    <mergeCell ref="W69:W70"/>
    <mergeCell ref="W71:W72"/>
    <mergeCell ref="W73:W74"/>
    <mergeCell ref="W75:W76"/>
    <mergeCell ref="W78:W79"/>
    <mergeCell ref="W84:W85"/>
    <mergeCell ref="W80:W81"/>
    <mergeCell ref="V80:V81"/>
    <mergeCell ref="V84:V85"/>
    <mergeCell ref="V86:V87"/>
    <mergeCell ref="V82:V83"/>
    <mergeCell ref="X7:X8"/>
    <mergeCell ref="X9:X10"/>
    <mergeCell ref="X13:X14"/>
    <mergeCell ref="X16:X17"/>
    <mergeCell ref="X18:X19"/>
    <mergeCell ref="X20:X21"/>
    <mergeCell ref="V11:V12"/>
    <mergeCell ref="W11:W12"/>
    <mergeCell ref="X11:X12"/>
    <mergeCell ref="W7:W8"/>
    <mergeCell ref="W9:W10"/>
    <mergeCell ref="W20:W21"/>
    <mergeCell ref="W13:W14"/>
    <mergeCell ref="V9:V10"/>
    <mergeCell ref="V13:V14"/>
    <mergeCell ref="V16:V17"/>
    <mergeCell ref="V18:V19"/>
    <mergeCell ref="V20:V21"/>
    <mergeCell ref="W22:W23"/>
    <mergeCell ref="W24:W25"/>
    <mergeCell ref="B22:B23"/>
    <mergeCell ref="D26:D27"/>
    <mergeCell ref="D28:D29"/>
    <mergeCell ref="B55:B56"/>
    <mergeCell ref="G55:G56"/>
    <mergeCell ref="D55:D56"/>
    <mergeCell ref="D53:D54"/>
    <mergeCell ref="E53:E54"/>
    <mergeCell ref="E55:E56"/>
    <mergeCell ref="G53:G54"/>
    <mergeCell ref="E40:E41"/>
    <mergeCell ref="E42:E43"/>
    <mergeCell ref="E44:E45"/>
    <mergeCell ref="E46:E47"/>
    <mergeCell ref="B49:B50"/>
    <mergeCell ref="C42:C43"/>
    <mergeCell ref="C40:C41"/>
    <mergeCell ref="B36:B37"/>
    <mergeCell ref="B24:B25"/>
    <mergeCell ref="G38:G39"/>
    <mergeCell ref="F22:F23"/>
    <mergeCell ref="D24:D25"/>
    <mergeCell ref="F38:F39"/>
    <mergeCell ref="G36:G37"/>
    <mergeCell ref="W46:W47"/>
    <mergeCell ref="X22:X23"/>
    <mergeCell ref="W55:W56"/>
    <mergeCell ref="E57:E58"/>
    <mergeCell ref="V59:V60"/>
    <mergeCell ref="W59:W60"/>
    <mergeCell ref="M46:O46"/>
    <mergeCell ref="G24:G25"/>
    <mergeCell ref="G32:G33"/>
    <mergeCell ref="W30:W31"/>
    <mergeCell ref="W32:W33"/>
    <mergeCell ref="W34:W35"/>
    <mergeCell ref="W36:W37"/>
    <mergeCell ref="W38:W39"/>
    <mergeCell ref="X40:X41"/>
    <mergeCell ref="X42:X43"/>
    <mergeCell ref="X34:X35"/>
    <mergeCell ref="X36:X37"/>
    <mergeCell ref="X38:X39"/>
    <mergeCell ref="W40:W41"/>
    <mergeCell ref="F30:F31"/>
    <mergeCell ref="I31:N31"/>
    <mergeCell ref="I32:N32"/>
    <mergeCell ref="F55:F56"/>
    <mergeCell ref="N166:N167"/>
    <mergeCell ref="M142:N142"/>
    <mergeCell ref="M143:N143"/>
    <mergeCell ref="M144:M145"/>
    <mergeCell ref="S138:S139"/>
    <mergeCell ref="B30:B31"/>
    <mergeCell ref="X30:X31"/>
    <mergeCell ref="X32:X33"/>
    <mergeCell ref="X24:X25"/>
    <mergeCell ref="C71:C72"/>
    <mergeCell ref="B90:B91"/>
    <mergeCell ref="C90:C91"/>
    <mergeCell ref="E90:E91"/>
    <mergeCell ref="D67:D68"/>
    <mergeCell ref="D69:D70"/>
    <mergeCell ref="L80:O80"/>
    <mergeCell ref="I73:O73"/>
    <mergeCell ref="U61:U62"/>
    <mergeCell ref="X90:X91"/>
    <mergeCell ref="B92:B93"/>
    <mergeCell ref="D92:D93"/>
    <mergeCell ref="F92:F93"/>
    <mergeCell ref="G92:G93"/>
    <mergeCell ref="C92:C93"/>
  </mergeCells>
  <phoneticPr fontId="25" type="noConversion"/>
  <conditionalFormatting sqref="H7:H14">
    <cfRule type="dataBar" priority="16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{9CA3AB21-9B7F-470D-A134-37A576FDF52C}</x14:id>
        </ext>
      </extLst>
    </cfRule>
  </conditionalFormatting>
  <conditionalFormatting sqref="H16:H47 G99:H101 G104:H107 H102:H103 G109:H112 H108 X96:X98 X100:X101 AJ99:AJ114">
    <cfRule type="dataBar" priority="16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{921B55DA-5056-418A-9B06-13E65013C4C4}</x14:id>
        </ext>
      </extLst>
    </cfRule>
  </conditionalFormatting>
  <conditionalFormatting sqref="H49:H76">
    <cfRule type="dataBar" priority="16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{23C13ABD-0AF1-448A-8D3F-40E0DA6EFE58}</x14:id>
        </ext>
      </extLst>
    </cfRule>
  </conditionalFormatting>
  <conditionalFormatting sqref="H78:H93">
    <cfRule type="dataBar" priority="16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{82997E4C-DA91-4C9E-979E-30BB3D0BBEC3}</x14:id>
        </ext>
      </extLst>
    </cfRule>
  </conditionalFormatting>
  <conditionalFormatting sqref="F7:F93 F99:F101 F104:F107 F109:F122 W7:W14 W16:W47 W49:W76 W78:W93 AI99:AI114 W96:W111">
    <cfRule type="cellIs" dxfId="21" priority="161" operator="greaterThan">
      <formula>768.61</formula>
    </cfRule>
  </conditionalFormatting>
  <conditionalFormatting sqref="F7:F93 F99:F101 F104:F107 F109:F122 W7:W14 W16:W47 W49:W76 W78:W93 AI99:AI114 W96:W111">
    <cfRule type="cellIs" dxfId="20" priority="160" operator="greaterThan">
      <formula>0</formula>
    </cfRule>
  </conditionalFormatting>
  <conditionalFormatting sqref="G7:G14">
    <cfRule type="dataBar" priority="12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{686695C6-3502-4DA0-95F6-D38956EA2A8A}</x14:id>
        </ext>
      </extLst>
    </cfRule>
  </conditionalFormatting>
  <conditionalFormatting sqref="X49:X76">
    <cfRule type="dataBar" priority="11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{F78001C0-72D1-4487-863D-563C946B9A1C}</x14:id>
        </ext>
      </extLst>
    </cfRule>
  </conditionalFormatting>
  <conditionalFormatting sqref="X78:X93">
    <cfRule type="dataBar" priority="11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{2EFA5DF1-6B71-49DD-834D-5575033F4214}</x14:id>
        </ext>
      </extLst>
    </cfRule>
  </conditionalFormatting>
  <conditionalFormatting sqref="G16:G47">
    <cfRule type="dataBar" priority="12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{CD2E92D7-90BB-4546-BF64-F442821A6192}</x14:id>
        </ext>
      </extLst>
    </cfRule>
  </conditionalFormatting>
  <conditionalFormatting sqref="G49:G76">
    <cfRule type="dataBar" priority="12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{D71ACCA2-B138-4D80-AC41-F0CD2398436D}</x14:id>
        </ext>
      </extLst>
    </cfRule>
  </conditionalFormatting>
  <conditionalFormatting sqref="G78:G93">
    <cfRule type="dataBar" priority="11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{69D555C6-11EF-4A23-B0DD-0D4F5538690B}</x14:id>
        </ext>
      </extLst>
    </cfRule>
  </conditionalFormatting>
  <conditionalFormatting sqref="X7:X12">
    <cfRule type="dataBar" priority="11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{7C7680B2-5C59-4111-95E5-CE41B55B69BD}</x14:id>
        </ext>
      </extLst>
    </cfRule>
  </conditionalFormatting>
  <conditionalFormatting sqref="X16:X47">
    <cfRule type="dataBar" priority="11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{6A9CD903-A4DA-46A4-ABC6-71386A42DBC5}</x14:id>
        </ext>
      </extLst>
    </cfRule>
  </conditionalFormatting>
  <conditionalFormatting sqref="E7:E14 E16:E47 E49:E76 E78:E93 E99:E112">
    <cfRule type="cellIs" dxfId="19" priority="85" operator="notEqual">
      <formula>0</formula>
    </cfRule>
  </conditionalFormatting>
  <conditionalFormatting sqref="D49:D76 D115:D116 D99:D101 D104:D107 D109:D112 D128:D129">
    <cfRule type="expression" dxfId="18" priority="76">
      <formula>$E49&lt;&gt;0</formula>
    </cfRule>
  </conditionalFormatting>
  <conditionalFormatting sqref="D78:D93">
    <cfRule type="expression" dxfId="17" priority="75">
      <formula>$E78&lt;&gt;0</formula>
    </cfRule>
  </conditionalFormatting>
  <conditionalFormatting sqref="D16:D47">
    <cfRule type="expression" dxfId="16" priority="74">
      <formula>$E16&lt;&gt;0</formula>
    </cfRule>
  </conditionalFormatting>
  <conditionalFormatting sqref="D7:D14">
    <cfRule type="expression" dxfId="15" priority="73">
      <formula>$E7&lt;&gt;0</formula>
    </cfRule>
  </conditionalFormatting>
  <conditionalFormatting sqref="H121:H122 H115:H116">
    <cfRule type="dataBar" priority="6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{577FD00C-E9CF-408F-AB2F-9BC5B1302AE9}</x14:id>
        </ext>
      </extLst>
    </cfRule>
  </conditionalFormatting>
  <conditionalFormatting sqref="G121:G122 G115:G116">
    <cfRule type="dataBar" priority="6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{72DCED53-D77A-4EF6-9CD3-43B0A1FA6380}</x14:id>
        </ext>
      </extLst>
    </cfRule>
  </conditionalFormatting>
  <conditionalFormatting sqref="E121:E122 E115:E116">
    <cfRule type="cellIs" dxfId="14" priority="58" operator="notEqual">
      <formula>0</formula>
    </cfRule>
  </conditionalFormatting>
  <conditionalFormatting sqref="D121:D122">
    <cfRule type="expression" dxfId="13" priority="57">
      <formula>$E121&lt;&gt;0</formula>
    </cfRule>
  </conditionalFormatting>
  <conditionalFormatting sqref="H119:H120">
    <cfRule type="dataBar" priority="5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{287214F2-943C-41E0-B309-057A3E155DDF}</x14:id>
        </ext>
      </extLst>
    </cfRule>
  </conditionalFormatting>
  <conditionalFormatting sqref="G119:G120">
    <cfRule type="dataBar" priority="5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{D32687F3-7ABB-4424-B8B6-7D5659809D68}</x14:id>
        </ext>
      </extLst>
    </cfRule>
  </conditionalFormatting>
  <conditionalFormatting sqref="E119:E120">
    <cfRule type="cellIs" dxfId="12" priority="51" operator="notEqual">
      <formula>0</formula>
    </cfRule>
  </conditionalFormatting>
  <conditionalFormatting sqref="D119:D120">
    <cfRule type="expression" dxfId="11" priority="50">
      <formula>$E119&lt;&gt;0</formula>
    </cfRule>
  </conditionalFormatting>
  <conditionalFormatting sqref="H117:H118">
    <cfRule type="dataBar" priority="4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{B29405CD-80BD-41D5-A367-B7FA6772CEA9}</x14:id>
        </ext>
      </extLst>
    </cfRule>
  </conditionalFormatting>
  <conditionalFormatting sqref="G117:G118">
    <cfRule type="dataBar" priority="4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{640B7886-157E-4A8D-8DCF-575F6F2568DA}</x14:id>
        </ext>
      </extLst>
    </cfRule>
  </conditionalFormatting>
  <conditionalFormatting sqref="E117:E118">
    <cfRule type="cellIs" dxfId="10" priority="44" operator="notEqual">
      <formula>0</formula>
    </cfRule>
  </conditionalFormatting>
  <conditionalFormatting sqref="D117:D118">
    <cfRule type="expression" dxfId="9" priority="43">
      <formula>$E117&lt;&gt;0</formula>
    </cfRule>
  </conditionalFormatting>
  <conditionalFormatting sqref="H113:H114">
    <cfRule type="dataBar" priority="42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{EAA90A46-C32E-4467-BEAD-CEBF3289EAD0}</x14:id>
        </ext>
      </extLst>
    </cfRule>
  </conditionalFormatting>
  <conditionalFormatting sqref="G113:G114">
    <cfRule type="dataBar" priority="3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{6A28EFAA-1690-44C8-9B96-14CE7B427C10}</x14:id>
        </ext>
      </extLst>
    </cfRule>
  </conditionalFormatting>
  <conditionalFormatting sqref="E113:E114">
    <cfRule type="cellIs" dxfId="8" priority="37" operator="notEqual">
      <formula>0</formula>
    </cfRule>
  </conditionalFormatting>
  <conditionalFormatting sqref="D113:D114">
    <cfRule type="expression" dxfId="7" priority="36">
      <formula>$E113&lt;&gt;0</formula>
    </cfRule>
  </conditionalFormatting>
  <conditionalFormatting sqref="G128:H129 G130:G131">
    <cfRule type="dataBar" priority="3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{4887286D-DF38-4DC9-ADD0-DBDAA7A0C4A2}</x14:id>
        </ext>
      </extLst>
    </cfRule>
  </conditionalFormatting>
  <conditionalFormatting sqref="F128:F129">
    <cfRule type="cellIs" dxfId="6" priority="33" operator="greaterThan">
      <formula>768.61</formula>
    </cfRule>
  </conditionalFormatting>
  <conditionalFormatting sqref="F128:F129">
    <cfRule type="cellIs" dxfId="5" priority="32" operator="greaterThan">
      <formula>0</formula>
    </cfRule>
  </conditionalFormatting>
  <conditionalFormatting sqref="E128:E129">
    <cfRule type="cellIs" dxfId="4" priority="31" operator="notEqual">
      <formula>0</formula>
    </cfRule>
  </conditionalFormatting>
  <conditionalFormatting sqref="H130:H131">
    <cfRule type="dataBar" priority="1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{99E20C5B-07A2-4CB7-BAEB-C36468D509B7}</x14:id>
        </ext>
      </extLst>
    </cfRule>
  </conditionalFormatting>
  <conditionalFormatting sqref="F130:F131">
    <cfRule type="cellIs" dxfId="3" priority="10" operator="greaterThan">
      <formula>768.61</formula>
    </cfRule>
  </conditionalFormatting>
  <conditionalFormatting sqref="F130:F131">
    <cfRule type="cellIs" dxfId="2" priority="9" operator="greaterThan">
      <formula>0</formula>
    </cfRule>
  </conditionalFormatting>
  <conditionalFormatting sqref="E130:E131">
    <cfRule type="cellIs" dxfId="1" priority="7" operator="notEqual">
      <formula>0</formula>
    </cfRule>
  </conditionalFormatting>
  <conditionalFormatting sqref="D130:D131">
    <cfRule type="expression" dxfId="0" priority="6">
      <formula>$E130&lt;&gt;0</formula>
    </cfRule>
  </conditionalFormatting>
  <conditionalFormatting sqref="X102:X111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{BBC75F96-0051-41F6-AE03-904B2849877D}</x14:id>
        </ext>
      </extLst>
    </cfRule>
  </conditionalFormatting>
  <conditionalFormatting sqref="X13:X14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{0BCE1C5B-E1F3-433B-B32B-62D275A0873D}</x14:id>
        </ext>
      </extLst>
    </cfRule>
  </conditionalFormatting>
  <pageMargins left="0.25" right="0.25" top="0.75" bottom="0.75" header="0.3" footer="0.3"/>
  <pageSetup paperSize="9" scale="39" fitToWidth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3AB21-9B7F-470D-A134-37A576FDF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H7:H14</xm:sqref>
        </x14:conditionalFormatting>
        <x14:conditionalFormatting xmlns:xm="http://schemas.microsoft.com/office/excel/2006/main">
          <x14:cfRule type="dataBar" id="{921B55DA-5056-418A-9B06-13E65013C4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H16:H47 G99:H101 G104:H107 H102:H103 G109:H112 H108 X96:X98 X100:X101 AJ99:AJ114</xm:sqref>
        </x14:conditionalFormatting>
        <x14:conditionalFormatting xmlns:xm="http://schemas.microsoft.com/office/excel/2006/main">
          <x14:cfRule type="dataBar" id="{23C13ABD-0AF1-448A-8D3F-40E0DA6EF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H49:H76</xm:sqref>
        </x14:conditionalFormatting>
        <x14:conditionalFormatting xmlns:xm="http://schemas.microsoft.com/office/excel/2006/main">
          <x14:cfRule type="dataBar" id="{82997E4C-DA91-4C9E-979E-30BB3D0BB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H78:H93</xm:sqref>
        </x14:conditionalFormatting>
        <x14:conditionalFormatting xmlns:xm="http://schemas.microsoft.com/office/excel/2006/main">
          <x14:cfRule type="dataBar" id="{686695C6-3502-4DA0-95F6-D38956EA2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G7:G14</xm:sqref>
        </x14:conditionalFormatting>
        <x14:conditionalFormatting xmlns:xm="http://schemas.microsoft.com/office/excel/2006/main">
          <x14:cfRule type="dataBar" id="{F78001C0-72D1-4487-863D-563C946B9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X49:X76</xm:sqref>
        </x14:conditionalFormatting>
        <x14:conditionalFormatting xmlns:xm="http://schemas.microsoft.com/office/excel/2006/main">
          <x14:cfRule type="dataBar" id="{2EFA5DF1-6B71-49DD-834D-5575033F42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X78:X93</xm:sqref>
        </x14:conditionalFormatting>
        <x14:conditionalFormatting xmlns:xm="http://schemas.microsoft.com/office/excel/2006/main">
          <x14:cfRule type="dataBar" id="{CD2E92D7-90BB-4546-BF64-F442821A6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G16:G47</xm:sqref>
        </x14:conditionalFormatting>
        <x14:conditionalFormatting xmlns:xm="http://schemas.microsoft.com/office/excel/2006/main">
          <x14:cfRule type="dataBar" id="{D71ACCA2-B138-4D80-AC41-F0CD239843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G49:G76</xm:sqref>
        </x14:conditionalFormatting>
        <x14:conditionalFormatting xmlns:xm="http://schemas.microsoft.com/office/excel/2006/main">
          <x14:cfRule type="dataBar" id="{69D555C6-11EF-4A23-B0DD-0D4F55386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G78:G93</xm:sqref>
        </x14:conditionalFormatting>
        <x14:conditionalFormatting xmlns:xm="http://schemas.microsoft.com/office/excel/2006/main">
          <x14:cfRule type="dataBar" id="{7C7680B2-5C59-4111-95E5-CE41B55B6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X7:X12</xm:sqref>
        </x14:conditionalFormatting>
        <x14:conditionalFormatting xmlns:xm="http://schemas.microsoft.com/office/excel/2006/main">
          <x14:cfRule type="dataBar" id="{6A9CD903-A4DA-46A4-ABC6-71386A42D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X16:X47</xm:sqref>
        </x14:conditionalFormatting>
        <x14:conditionalFormatting xmlns:xm="http://schemas.microsoft.com/office/excel/2006/main">
          <x14:cfRule type="dataBar" id="{577FD00C-E9CF-408F-AB2F-9BC5B1302A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H121:H122 H115:H116</xm:sqref>
        </x14:conditionalFormatting>
        <x14:conditionalFormatting xmlns:xm="http://schemas.microsoft.com/office/excel/2006/main">
          <x14:cfRule type="dataBar" id="{72DCED53-D77A-4EF6-9CD3-43B0A1FA63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G121:G122 G115:G116</xm:sqref>
        </x14:conditionalFormatting>
        <x14:conditionalFormatting xmlns:xm="http://schemas.microsoft.com/office/excel/2006/main">
          <x14:cfRule type="dataBar" id="{287214F2-943C-41E0-B309-057A3E155D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H119:H120</xm:sqref>
        </x14:conditionalFormatting>
        <x14:conditionalFormatting xmlns:xm="http://schemas.microsoft.com/office/excel/2006/main">
          <x14:cfRule type="dataBar" id="{D32687F3-7ABB-4424-B8B6-7D5659809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G119:G120</xm:sqref>
        </x14:conditionalFormatting>
        <x14:conditionalFormatting xmlns:xm="http://schemas.microsoft.com/office/excel/2006/main">
          <x14:cfRule type="dataBar" id="{B29405CD-80BD-41D5-A367-B7FA6772CE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H117:H118</xm:sqref>
        </x14:conditionalFormatting>
        <x14:conditionalFormatting xmlns:xm="http://schemas.microsoft.com/office/excel/2006/main">
          <x14:cfRule type="dataBar" id="{640B7886-157E-4A8D-8DCF-575F6F2568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G117:G118</xm:sqref>
        </x14:conditionalFormatting>
        <x14:conditionalFormatting xmlns:xm="http://schemas.microsoft.com/office/excel/2006/main">
          <x14:cfRule type="dataBar" id="{EAA90A46-C32E-4467-BEAD-CEBF3289E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H113:H114</xm:sqref>
        </x14:conditionalFormatting>
        <x14:conditionalFormatting xmlns:xm="http://schemas.microsoft.com/office/excel/2006/main">
          <x14:cfRule type="dataBar" id="{6A28EFAA-1690-44C8-9B96-14CE7B427C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G113:G114</xm:sqref>
        </x14:conditionalFormatting>
        <x14:conditionalFormatting xmlns:xm="http://schemas.microsoft.com/office/excel/2006/main">
          <x14:cfRule type="dataBar" id="{4887286D-DF38-4DC9-ADD0-DBDAA7A0C4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G128:H129 G130:G131</xm:sqref>
        </x14:conditionalFormatting>
        <x14:conditionalFormatting xmlns:xm="http://schemas.microsoft.com/office/excel/2006/main">
          <x14:cfRule type="dataBar" id="{99E20C5B-07A2-4CB7-BAEB-C36468D509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H130:H131</xm:sqref>
        </x14:conditionalFormatting>
        <x14:conditionalFormatting xmlns:xm="http://schemas.microsoft.com/office/excel/2006/main">
          <x14:cfRule type="dataBar" id="{BBC75F96-0051-41F6-AE03-904B284987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X102:X111</xm:sqref>
        </x14:conditionalFormatting>
        <x14:conditionalFormatting xmlns:xm="http://schemas.microsoft.com/office/excel/2006/main">
          <x14:cfRule type="dataBar" id="{0BCE1C5B-E1F3-433B-B32B-62D275A087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X13:X14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2"/>
  <sheetViews>
    <sheetView workbookViewId="0">
      <selection activeCell="H16" sqref="H16"/>
    </sheetView>
  </sheetViews>
  <sheetFormatPr defaultColWidth="8.81640625" defaultRowHeight="14.5" x14ac:dyDescent="0.35"/>
  <cols>
    <col min="2" max="4" width="13" customWidth="1"/>
  </cols>
  <sheetData>
    <row r="1" spans="2:4" ht="15" thickBot="1" x14ac:dyDescent="0.4"/>
    <row r="2" spans="2:4" ht="15" thickBot="1" x14ac:dyDescent="0.4">
      <c r="B2" s="563" t="s">
        <v>18</v>
      </c>
      <c r="C2" s="564" t="s">
        <v>5</v>
      </c>
      <c r="D2" s="565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3:BC5"/>
  <sheetViews>
    <sheetView workbookViewId="0">
      <selection activeCell="AI15" sqref="AI15"/>
    </sheetView>
  </sheetViews>
  <sheetFormatPr defaultColWidth="8.81640625" defaultRowHeight="14.5" x14ac:dyDescent="0.35"/>
  <cols>
    <col min="1" max="1" width="20.453125" customWidth="1"/>
  </cols>
  <sheetData>
    <row r="3" spans="1:55" x14ac:dyDescent="0.35">
      <c r="A3" t="s">
        <v>184</v>
      </c>
      <c r="B3" s="121" t="s">
        <v>352</v>
      </c>
      <c r="C3" s="121">
        <v>3</v>
      </c>
      <c r="D3" s="121">
        <v>10</v>
      </c>
      <c r="E3" s="121">
        <v>17</v>
      </c>
      <c r="F3" s="121">
        <v>24</v>
      </c>
      <c r="G3" s="121">
        <v>43860</v>
      </c>
      <c r="H3" s="121">
        <v>42773</v>
      </c>
      <c r="I3" s="121">
        <v>14</v>
      </c>
      <c r="J3" s="121">
        <v>21</v>
      </c>
      <c r="K3" s="121">
        <v>28</v>
      </c>
      <c r="L3" s="121">
        <v>42797</v>
      </c>
      <c r="M3" s="121">
        <v>42804</v>
      </c>
      <c r="N3" s="121">
        <v>42811</v>
      </c>
      <c r="O3" s="121">
        <v>42818</v>
      </c>
      <c r="P3" s="121">
        <v>42825</v>
      </c>
      <c r="Q3" s="121">
        <v>42832</v>
      </c>
      <c r="R3" s="121">
        <v>42839</v>
      </c>
      <c r="S3" s="121">
        <v>42846</v>
      </c>
      <c r="T3" s="121">
        <v>42853</v>
      </c>
      <c r="U3" s="121">
        <v>42860</v>
      </c>
      <c r="V3" s="121">
        <v>42867</v>
      </c>
      <c r="W3" s="121">
        <v>42874</v>
      </c>
      <c r="X3" s="121">
        <v>42881</v>
      </c>
      <c r="Y3" s="121">
        <v>42888</v>
      </c>
      <c r="Z3" s="121">
        <v>42895</v>
      </c>
      <c r="AA3" s="121">
        <v>42902</v>
      </c>
      <c r="AB3" s="121">
        <v>42909</v>
      </c>
      <c r="AC3" s="121">
        <v>42916</v>
      </c>
      <c r="AD3" s="121">
        <v>42923</v>
      </c>
      <c r="AE3" s="121">
        <v>42930</v>
      </c>
      <c r="AF3" s="121">
        <v>42937</v>
      </c>
      <c r="AG3" s="121">
        <v>42944</v>
      </c>
      <c r="AH3" s="121">
        <v>42951</v>
      </c>
      <c r="AI3" s="121">
        <v>42958</v>
      </c>
      <c r="AJ3" s="121">
        <v>42965</v>
      </c>
      <c r="AK3" s="121">
        <v>42972</v>
      </c>
      <c r="AL3" s="121">
        <v>42979</v>
      </c>
      <c r="AM3" s="121">
        <v>42986</v>
      </c>
      <c r="AN3" s="121">
        <v>42993</v>
      </c>
      <c r="AO3" s="121">
        <v>43000</v>
      </c>
      <c r="AP3" s="121">
        <v>43007</v>
      </c>
      <c r="AQ3" s="121">
        <v>43014</v>
      </c>
      <c r="AR3" s="121">
        <v>43021</v>
      </c>
      <c r="AS3" s="121">
        <v>43028</v>
      </c>
      <c r="AT3" s="121">
        <v>43035</v>
      </c>
      <c r="AU3" s="121">
        <v>43042</v>
      </c>
      <c r="AV3" s="121">
        <v>43049</v>
      </c>
      <c r="AW3" s="121">
        <v>43056</v>
      </c>
      <c r="AX3" s="121">
        <v>43063</v>
      </c>
      <c r="AY3" s="121">
        <v>43070</v>
      </c>
      <c r="AZ3" s="121">
        <v>43077</v>
      </c>
      <c r="BA3" s="121">
        <v>43084</v>
      </c>
      <c r="BB3" s="121">
        <v>43091</v>
      </c>
      <c r="BC3" s="121">
        <v>43098</v>
      </c>
    </row>
    <row r="4" spans="1:55" x14ac:dyDescent="0.35">
      <c r="A4" t="s">
        <v>185</v>
      </c>
      <c r="B4">
        <v>82.23</v>
      </c>
      <c r="C4">
        <v>81.34</v>
      </c>
      <c r="D4">
        <v>81.34</v>
      </c>
      <c r="E4">
        <v>81.34</v>
      </c>
      <c r="F4">
        <v>81.34</v>
      </c>
      <c r="G4">
        <v>81.34</v>
      </c>
      <c r="H4">
        <v>81.34</v>
      </c>
      <c r="I4">
        <v>81.34</v>
      </c>
      <c r="J4">
        <v>81.34</v>
      </c>
      <c r="K4">
        <v>81.34</v>
      </c>
      <c r="L4">
        <v>81.34</v>
      </c>
      <c r="M4">
        <v>81.34</v>
      </c>
      <c r="N4">
        <v>81.34</v>
      </c>
      <c r="O4">
        <v>81.34</v>
      </c>
      <c r="P4">
        <v>81.34</v>
      </c>
      <c r="Q4">
        <v>81.55</v>
      </c>
      <c r="R4">
        <v>81.55</v>
      </c>
      <c r="S4">
        <v>81.55</v>
      </c>
      <c r="T4">
        <v>81.55</v>
      </c>
      <c r="U4">
        <v>81.55</v>
      </c>
      <c r="V4">
        <v>81.55</v>
      </c>
      <c r="W4">
        <v>81.55</v>
      </c>
      <c r="X4">
        <v>81.55</v>
      </c>
      <c r="Y4">
        <v>81.55</v>
      </c>
      <c r="Z4">
        <v>81.55</v>
      </c>
      <c r="AA4">
        <v>81.55</v>
      </c>
      <c r="AB4">
        <v>81.55</v>
      </c>
      <c r="AC4">
        <v>81.55</v>
      </c>
      <c r="AD4">
        <v>81.55</v>
      </c>
      <c r="AE4">
        <v>81.55</v>
      </c>
      <c r="AF4">
        <v>81.55</v>
      </c>
      <c r="AG4">
        <v>81.55</v>
      </c>
      <c r="AH4">
        <v>81.760000000000005</v>
      </c>
      <c r="AI4">
        <v>81.760000000000005</v>
      </c>
      <c r="AJ4">
        <v>81.760000000000005</v>
      </c>
      <c r="AK4">
        <v>81.760000000000005</v>
      </c>
      <c r="AL4">
        <v>81.760000000000005</v>
      </c>
    </row>
    <row r="5" spans="1:55" x14ac:dyDescent="0.35">
      <c r="X5" s="17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1:N33"/>
  <sheetViews>
    <sheetView workbookViewId="0">
      <selection activeCell="G18" sqref="G18"/>
    </sheetView>
  </sheetViews>
  <sheetFormatPr defaultColWidth="11.453125" defaultRowHeight="14.5" x14ac:dyDescent="0.35"/>
  <cols>
    <col min="1" max="1" width="3.1796875" style="144" customWidth="1"/>
    <col min="2" max="2" width="8.36328125" style="144" customWidth="1"/>
    <col min="3" max="3" width="9.81640625" style="144" customWidth="1"/>
    <col min="4" max="4" width="14" style="144" customWidth="1"/>
    <col min="5" max="5" width="4.453125" style="144" customWidth="1"/>
    <col min="6" max="6" width="40.453125" style="144" customWidth="1"/>
    <col min="7" max="7" width="8.453125" style="144" customWidth="1"/>
    <col min="8" max="8" width="9.36328125" style="144" customWidth="1"/>
    <col min="9" max="9" width="5.453125" customWidth="1"/>
    <col min="10" max="10" width="25.1796875" customWidth="1"/>
    <col min="11" max="11" width="14.36328125" style="195" customWidth="1"/>
    <col min="12" max="12" width="2.36328125" customWidth="1"/>
  </cols>
  <sheetData>
    <row r="1" spans="1:14" ht="15" thickBot="1" x14ac:dyDescent="0.4"/>
    <row r="2" spans="1:14" x14ac:dyDescent="0.35">
      <c r="A2" s="731" t="s">
        <v>206</v>
      </c>
      <c r="B2" s="732"/>
      <c r="C2" s="732"/>
      <c r="D2" s="732"/>
      <c r="E2" s="161"/>
      <c r="F2" s="732" t="s">
        <v>228</v>
      </c>
      <c r="G2" s="732"/>
      <c r="H2" s="733"/>
    </row>
    <row r="3" spans="1:14" x14ac:dyDescent="0.35">
      <c r="A3" s="162" t="s">
        <v>207</v>
      </c>
      <c r="B3" s="163" t="s">
        <v>6</v>
      </c>
      <c r="C3" s="163" t="s">
        <v>208</v>
      </c>
      <c r="D3" s="163" t="s">
        <v>209</v>
      </c>
      <c r="E3" s="164"/>
      <c r="F3" s="163" t="s">
        <v>210</v>
      </c>
      <c r="G3" s="163" t="s">
        <v>209</v>
      </c>
      <c r="H3" s="165" t="s">
        <v>221</v>
      </c>
      <c r="J3" s="163" t="s">
        <v>229</v>
      </c>
      <c r="K3" s="196"/>
      <c r="L3" s="185"/>
      <c r="M3" s="185"/>
      <c r="N3" s="185"/>
    </row>
    <row r="4" spans="1:14" x14ac:dyDescent="0.35">
      <c r="A4" s="145"/>
      <c r="B4" s="146"/>
      <c r="C4" s="146"/>
      <c r="D4" s="146"/>
      <c r="E4" s="147"/>
      <c r="F4" s="146"/>
      <c r="G4" s="148"/>
      <c r="H4" s="149"/>
      <c r="J4" s="185"/>
      <c r="K4" s="197"/>
      <c r="L4" s="185"/>
      <c r="M4" s="185"/>
      <c r="N4" s="185"/>
    </row>
    <row r="5" spans="1:14" x14ac:dyDescent="0.35">
      <c r="A5" s="157">
        <v>1</v>
      </c>
      <c r="B5" s="158">
        <v>52</v>
      </c>
      <c r="C5" s="159" t="s">
        <v>11</v>
      </c>
      <c r="D5" s="160">
        <v>130.79</v>
      </c>
      <c r="E5" s="147"/>
      <c r="F5" s="150"/>
      <c r="G5" s="151"/>
      <c r="H5" s="152"/>
      <c r="J5" s="185"/>
      <c r="K5" s="197"/>
      <c r="L5" s="185"/>
      <c r="M5" s="185"/>
      <c r="N5" s="185"/>
    </row>
    <row r="6" spans="1:14" x14ac:dyDescent="0.35">
      <c r="A6" s="157">
        <v>2</v>
      </c>
      <c r="B6" s="158">
        <v>52</v>
      </c>
      <c r="C6" s="159" t="s">
        <v>12</v>
      </c>
      <c r="D6" s="160">
        <v>486.65</v>
      </c>
      <c r="E6" s="147"/>
      <c r="F6" s="150"/>
      <c r="G6" s="151"/>
      <c r="H6" s="152"/>
      <c r="J6" s="185"/>
      <c r="K6" s="197"/>
      <c r="L6" s="185"/>
      <c r="M6" s="185"/>
      <c r="N6" s="185"/>
    </row>
    <row r="7" spans="1:14" x14ac:dyDescent="0.35">
      <c r="A7" s="157">
        <v>3</v>
      </c>
      <c r="B7" s="158">
        <v>32</v>
      </c>
      <c r="C7" s="159" t="s">
        <v>9</v>
      </c>
      <c r="D7" s="160">
        <v>357.73</v>
      </c>
      <c r="E7" s="147"/>
      <c r="F7" s="150"/>
      <c r="G7" s="151"/>
      <c r="H7" s="152"/>
      <c r="J7" s="185"/>
      <c r="K7" s="197"/>
      <c r="L7" s="185"/>
      <c r="M7" s="185"/>
      <c r="N7" s="185"/>
    </row>
    <row r="8" spans="1:14" x14ac:dyDescent="0.35">
      <c r="A8" s="157">
        <v>2</v>
      </c>
      <c r="B8" s="158">
        <v>31</v>
      </c>
      <c r="C8" s="159" t="s">
        <v>236</v>
      </c>
      <c r="D8" s="160" t="s">
        <v>237</v>
      </c>
      <c r="E8" s="147"/>
      <c r="F8" s="150"/>
      <c r="G8" s="151"/>
      <c r="H8" s="152"/>
      <c r="J8" s="185"/>
      <c r="K8" s="197"/>
      <c r="L8" s="185"/>
      <c r="M8" s="185"/>
      <c r="N8" s="185"/>
    </row>
    <row r="9" spans="1:14" x14ac:dyDescent="0.35">
      <c r="A9" s="157">
        <v>3</v>
      </c>
      <c r="B9" s="158">
        <v>29</v>
      </c>
      <c r="C9" s="159" t="s">
        <v>7</v>
      </c>
      <c r="D9" s="160">
        <v>478.84</v>
      </c>
      <c r="E9" s="147"/>
      <c r="F9" s="150"/>
      <c r="G9" s="151"/>
      <c r="H9" s="152"/>
      <c r="J9" s="185"/>
      <c r="K9" s="197"/>
      <c r="L9" s="185"/>
      <c r="M9" s="185"/>
      <c r="N9" s="185"/>
    </row>
    <row r="10" spans="1:14" x14ac:dyDescent="0.35">
      <c r="A10" s="157">
        <v>4</v>
      </c>
      <c r="B10" s="158">
        <v>29</v>
      </c>
      <c r="C10" s="159" t="s">
        <v>13</v>
      </c>
      <c r="D10" s="160">
        <v>137.66999999999999</v>
      </c>
      <c r="E10" s="147"/>
      <c r="F10" s="150"/>
      <c r="G10" s="151"/>
      <c r="H10" s="152"/>
      <c r="J10" s="185"/>
      <c r="K10" s="197"/>
      <c r="L10" s="185"/>
      <c r="M10" s="185"/>
      <c r="N10" s="185"/>
    </row>
    <row r="11" spans="1:14" x14ac:dyDescent="0.35">
      <c r="A11" s="157">
        <v>5</v>
      </c>
      <c r="B11" s="158">
        <v>25</v>
      </c>
      <c r="C11" s="159" t="s">
        <v>7</v>
      </c>
      <c r="D11" s="160">
        <v>439.1</v>
      </c>
      <c r="E11" s="147"/>
      <c r="F11" s="146"/>
      <c r="G11" s="148"/>
      <c r="H11" s="149"/>
      <c r="J11" s="185"/>
      <c r="K11" s="197"/>
      <c r="L11" s="185"/>
      <c r="M11" s="185"/>
      <c r="N11" s="185"/>
    </row>
    <row r="12" spans="1:14" x14ac:dyDescent="0.35">
      <c r="A12" s="157">
        <v>6</v>
      </c>
      <c r="B12" s="158">
        <v>22</v>
      </c>
      <c r="C12" s="159" t="s">
        <v>227</v>
      </c>
      <c r="D12" s="160">
        <v>1566.44</v>
      </c>
      <c r="E12" s="147"/>
      <c r="F12" s="146"/>
      <c r="G12" s="148"/>
      <c r="H12" s="149"/>
      <c r="J12" s="185"/>
      <c r="K12" s="197"/>
      <c r="L12" s="185"/>
      <c r="M12" s="185"/>
      <c r="N12" s="185"/>
    </row>
    <row r="13" spans="1:14" x14ac:dyDescent="0.35">
      <c r="A13" s="157">
        <v>11</v>
      </c>
      <c r="B13" s="158">
        <v>20</v>
      </c>
      <c r="C13" s="159" t="s">
        <v>7</v>
      </c>
      <c r="D13" s="160">
        <v>370.08</v>
      </c>
      <c r="E13" s="147"/>
      <c r="F13" s="182"/>
      <c r="G13" s="183"/>
      <c r="H13" s="184"/>
      <c r="J13" s="186" t="s">
        <v>210</v>
      </c>
      <c r="K13" s="197"/>
      <c r="L13" s="185"/>
      <c r="M13" s="185"/>
      <c r="N13" s="185"/>
    </row>
    <row r="14" spans="1:14" x14ac:dyDescent="0.35">
      <c r="A14" s="157">
        <v>12</v>
      </c>
      <c r="B14" s="158">
        <v>19</v>
      </c>
      <c r="C14" s="168" t="s">
        <v>12</v>
      </c>
      <c r="D14" s="169">
        <v>137.66999999999999</v>
      </c>
      <c r="E14" s="147"/>
      <c r="F14" s="201"/>
      <c r="G14" s="202"/>
      <c r="H14" s="203"/>
      <c r="J14" s="186"/>
      <c r="K14" s="197"/>
      <c r="L14" s="185"/>
      <c r="M14" s="185"/>
      <c r="N14" s="185"/>
    </row>
    <row r="15" spans="1:14" x14ac:dyDescent="0.35">
      <c r="A15" s="157">
        <v>13</v>
      </c>
      <c r="B15" s="158">
        <v>10</v>
      </c>
      <c r="C15" s="168" t="s">
        <v>8</v>
      </c>
      <c r="D15" s="169">
        <v>136</v>
      </c>
      <c r="E15" s="147"/>
      <c r="F15" s="170"/>
      <c r="G15" s="188"/>
      <c r="H15" s="189"/>
      <c r="I15" s="144"/>
      <c r="J15" s="185"/>
      <c r="K15" s="197"/>
      <c r="L15" s="185"/>
      <c r="M15" s="185"/>
      <c r="N15" s="185"/>
    </row>
    <row r="16" spans="1:14" x14ac:dyDescent="0.35">
      <c r="A16" s="157">
        <v>15</v>
      </c>
      <c r="B16" s="158">
        <v>9</v>
      </c>
      <c r="C16" s="168" t="s">
        <v>9</v>
      </c>
      <c r="D16" s="169">
        <v>137.53</v>
      </c>
      <c r="E16" s="147"/>
      <c r="F16" s="170"/>
      <c r="G16" s="171"/>
      <c r="H16" s="172"/>
      <c r="J16" s="185"/>
      <c r="K16" s="197"/>
      <c r="L16" s="185"/>
      <c r="M16" s="185"/>
      <c r="N16" s="185"/>
    </row>
    <row r="17" spans="1:14" ht="15" thickBot="1" x14ac:dyDescent="0.4">
      <c r="A17" s="157">
        <v>16</v>
      </c>
      <c r="B17" s="158">
        <v>10</v>
      </c>
      <c r="C17" s="168" t="s">
        <v>225</v>
      </c>
      <c r="D17" s="169">
        <v>127.23</v>
      </c>
      <c r="E17" s="147"/>
      <c r="F17" s="170"/>
      <c r="G17" s="171"/>
      <c r="H17" s="172"/>
      <c r="J17" s="185"/>
      <c r="K17" s="197"/>
      <c r="L17" s="185"/>
      <c r="M17" s="185"/>
      <c r="N17" s="185"/>
    </row>
    <row r="18" spans="1:14" ht="15" thickBot="1" x14ac:dyDescent="0.4">
      <c r="C18" s="166" t="s">
        <v>17</v>
      </c>
      <c r="D18" s="167">
        <f>SUM(D5:D17)</f>
        <v>4505.7299999999996</v>
      </c>
      <c r="E18" s="154"/>
      <c r="F18" s="153" t="s">
        <v>211</v>
      </c>
      <c r="G18" s="155">
        <f>SUM(G5:G17)</f>
        <v>0</v>
      </c>
      <c r="H18" s="153"/>
      <c r="J18" s="185"/>
      <c r="K18" s="197"/>
      <c r="L18" s="185"/>
      <c r="M18" s="185"/>
      <c r="N18" s="185"/>
    </row>
    <row r="19" spans="1:14" x14ac:dyDescent="0.35">
      <c r="J19" s="187" t="s">
        <v>230</v>
      </c>
      <c r="K19" s="197"/>
      <c r="L19" s="185"/>
      <c r="M19" s="185"/>
      <c r="N19" s="185"/>
    </row>
    <row r="20" spans="1:14" x14ac:dyDescent="0.35">
      <c r="D20" s="205"/>
      <c r="E20" s="205"/>
      <c r="F20" s="205"/>
      <c r="G20" s="205"/>
      <c r="H20" s="205"/>
      <c r="J20" s="185"/>
      <c r="K20" s="197"/>
      <c r="L20" s="185"/>
      <c r="M20" s="185"/>
      <c r="N20" s="185"/>
    </row>
    <row r="21" spans="1:14" x14ac:dyDescent="0.35">
      <c r="D21" s="205"/>
      <c r="E21" s="205"/>
      <c r="F21" s="205"/>
      <c r="G21" s="205"/>
      <c r="H21" s="205"/>
      <c r="J21" s="185"/>
      <c r="K21" s="197"/>
      <c r="L21" s="185"/>
      <c r="M21" s="185"/>
      <c r="N21" s="185"/>
    </row>
    <row r="22" spans="1:14" x14ac:dyDescent="0.35">
      <c r="B22" s="204"/>
      <c r="D22" s="205"/>
      <c r="E22" s="205"/>
      <c r="F22" s="205"/>
      <c r="G22" s="205"/>
      <c r="H22" s="205"/>
      <c r="J22" s="185"/>
      <c r="K22" s="197"/>
      <c r="L22" s="185"/>
      <c r="M22" s="185"/>
      <c r="N22" s="185"/>
    </row>
    <row r="23" spans="1:14" x14ac:dyDescent="0.35">
      <c r="D23" s="205"/>
      <c r="E23" s="205"/>
      <c r="F23" s="205"/>
      <c r="G23" s="205"/>
      <c r="H23" s="205"/>
      <c r="J23" s="185"/>
      <c r="K23" s="197"/>
      <c r="L23" s="185"/>
      <c r="M23" s="185"/>
      <c r="N23" s="185"/>
    </row>
    <row r="24" spans="1:14" x14ac:dyDescent="0.35">
      <c r="J24" s="185"/>
      <c r="K24" s="197"/>
      <c r="L24" s="185"/>
      <c r="M24" s="185"/>
      <c r="N24" s="185"/>
    </row>
    <row r="33" spans="6:6" x14ac:dyDescent="0.35">
      <c r="F33" s="156"/>
    </row>
  </sheetData>
  <mergeCells count="2">
    <mergeCell ref="A2:D2"/>
    <mergeCell ref="F2:H2"/>
  </mergeCells>
  <pageMargins left="0.75" right="0.75" top="1" bottom="1" header="0.5" footer="0.5"/>
  <pageSetup paperSize="9" orientation="landscape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J77"/>
  <sheetViews>
    <sheetView workbookViewId="0">
      <selection activeCell="D34" sqref="D34"/>
    </sheetView>
  </sheetViews>
  <sheetFormatPr defaultColWidth="8.81640625" defaultRowHeight="14.5" x14ac:dyDescent="0.35"/>
  <cols>
    <col min="1" max="1" width="6" customWidth="1"/>
    <col min="2" max="2" width="11.1796875" customWidth="1"/>
    <col min="3" max="3" width="10.36328125" customWidth="1"/>
    <col min="4" max="4" width="43.6328125" customWidth="1"/>
    <col min="5" max="5" width="19.36328125" customWidth="1"/>
    <col min="6" max="6" width="13" customWidth="1"/>
    <col min="7" max="7" width="18.36328125" customWidth="1"/>
    <col min="8" max="8" width="9.1796875" customWidth="1"/>
    <col min="9" max="9" width="10.6328125" customWidth="1"/>
    <col min="10" max="10" width="14.453125" customWidth="1"/>
  </cols>
  <sheetData>
    <row r="1" spans="1:10" ht="18.5" x14ac:dyDescent="0.45">
      <c r="A1" s="195"/>
      <c r="B1" s="195"/>
      <c r="C1" s="195"/>
      <c r="D1" s="206" t="s">
        <v>239</v>
      </c>
      <c r="E1" s="195"/>
      <c r="H1" s="207"/>
      <c r="I1" s="208"/>
    </row>
    <row r="2" spans="1:10" x14ac:dyDescent="0.35">
      <c r="A2" s="195"/>
      <c r="B2" s="195"/>
      <c r="C2" s="195"/>
      <c r="E2" s="195"/>
      <c r="H2" s="207"/>
      <c r="I2" s="208"/>
    </row>
    <row r="3" spans="1:10" x14ac:dyDescent="0.35">
      <c r="A3" s="734" t="s">
        <v>240</v>
      </c>
      <c r="B3" s="734" t="s">
        <v>178</v>
      </c>
      <c r="C3" s="734" t="s">
        <v>105</v>
      </c>
      <c r="D3" s="734" t="s">
        <v>241</v>
      </c>
      <c r="E3" s="734" t="s">
        <v>242</v>
      </c>
      <c r="F3" s="734" t="s">
        <v>243</v>
      </c>
      <c r="G3" s="734" t="s">
        <v>244</v>
      </c>
      <c r="H3" s="736" t="s">
        <v>245</v>
      </c>
      <c r="I3" s="737"/>
      <c r="J3" s="734" t="s">
        <v>246</v>
      </c>
    </row>
    <row r="4" spans="1:10" x14ac:dyDescent="0.35">
      <c r="A4" s="735"/>
      <c r="B4" s="735"/>
      <c r="C4" s="735"/>
      <c r="D4" s="735"/>
      <c r="E4" s="735"/>
      <c r="F4" s="735"/>
      <c r="G4" s="735"/>
      <c r="H4" s="209" t="s">
        <v>247</v>
      </c>
      <c r="I4" s="210" t="s">
        <v>248</v>
      </c>
      <c r="J4" s="735"/>
    </row>
    <row r="5" spans="1:10" x14ac:dyDescent="0.35">
      <c r="A5" s="197"/>
      <c r="B5" s="197"/>
      <c r="C5" s="197"/>
      <c r="D5" s="185"/>
      <c r="E5" s="197"/>
      <c r="F5" s="185"/>
      <c r="G5" s="185"/>
      <c r="H5" s="211"/>
      <c r="I5" s="212"/>
      <c r="J5" s="185"/>
    </row>
    <row r="6" spans="1:10" x14ac:dyDescent="0.35">
      <c r="A6" s="197">
        <v>47</v>
      </c>
      <c r="B6" s="197">
        <v>19</v>
      </c>
      <c r="C6" s="197" t="s">
        <v>12</v>
      </c>
      <c r="D6" s="185" t="s">
        <v>224</v>
      </c>
      <c r="E6" s="197" t="s">
        <v>250</v>
      </c>
      <c r="F6" s="185">
        <v>137.66999999999999</v>
      </c>
      <c r="G6" s="213">
        <v>44088</v>
      </c>
      <c r="H6" s="214" t="s">
        <v>179</v>
      </c>
      <c r="I6" s="212">
        <v>510000</v>
      </c>
      <c r="J6" s="185" t="s">
        <v>291</v>
      </c>
    </row>
    <row r="7" spans="1:10" x14ac:dyDescent="0.35">
      <c r="A7" s="197">
        <v>45</v>
      </c>
      <c r="B7" s="197">
        <v>19</v>
      </c>
      <c r="C7" s="197" t="s">
        <v>10</v>
      </c>
      <c r="D7" s="185" t="s">
        <v>308</v>
      </c>
      <c r="E7" s="197" t="s">
        <v>250</v>
      </c>
      <c r="F7" s="185">
        <v>306.92</v>
      </c>
      <c r="G7" s="213">
        <v>44544</v>
      </c>
      <c r="H7" s="214" t="s">
        <v>179</v>
      </c>
      <c r="I7" s="212">
        <v>383000</v>
      </c>
      <c r="J7" s="185" t="s">
        <v>251</v>
      </c>
    </row>
    <row r="8" spans="1:10" x14ac:dyDescent="0.35">
      <c r="A8" s="197">
        <v>24</v>
      </c>
      <c r="B8" s="197">
        <v>29</v>
      </c>
      <c r="C8" s="197" t="s">
        <v>276</v>
      </c>
      <c r="D8" s="185" t="s">
        <v>25</v>
      </c>
      <c r="E8" s="197" t="s">
        <v>261</v>
      </c>
      <c r="F8" s="185">
        <v>588.61</v>
      </c>
      <c r="G8" s="213">
        <v>47299</v>
      </c>
      <c r="H8" s="214" t="s">
        <v>180</v>
      </c>
      <c r="I8" s="212">
        <v>37.5</v>
      </c>
      <c r="J8" s="185" t="s">
        <v>264</v>
      </c>
    </row>
    <row r="9" spans="1:10" x14ac:dyDescent="0.35">
      <c r="A9" s="197">
        <v>34</v>
      </c>
      <c r="B9" s="197">
        <v>25</v>
      </c>
      <c r="C9" s="197" t="s">
        <v>11</v>
      </c>
      <c r="D9" s="185" t="s">
        <v>292</v>
      </c>
      <c r="E9" s="197" t="s">
        <v>261</v>
      </c>
      <c r="F9" s="185">
        <v>388.68</v>
      </c>
      <c r="G9" s="213">
        <v>43524</v>
      </c>
      <c r="H9" s="214" t="s">
        <v>180</v>
      </c>
      <c r="I9" s="212">
        <v>31</v>
      </c>
      <c r="J9" s="185" t="s">
        <v>251</v>
      </c>
    </row>
    <row r="10" spans="1:10" x14ac:dyDescent="0.35">
      <c r="A10" s="197">
        <v>1</v>
      </c>
      <c r="B10" s="197">
        <v>55</v>
      </c>
      <c r="C10" s="197" t="s">
        <v>227</v>
      </c>
      <c r="D10" s="185" t="s">
        <v>249</v>
      </c>
      <c r="E10" s="197" t="s">
        <v>250</v>
      </c>
      <c r="F10" s="185">
        <v>1326.08</v>
      </c>
      <c r="G10" s="213">
        <v>45382</v>
      </c>
      <c r="H10" s="214" t="s">
        <v>180</v>
      </c>
      <c r="I10" s="212">
        <v>25</v>
      </c>
      <c r="J10" s="185" t="s">
        <v>251</v>
      </c>
    </row>
    <row r="11" spans="1:10" x14ac:dyDescent="0.35">
      <c r="A11" s="197">
        <v>2</v>
      </c>
      <c r="B11" s="197">
        <v>53</v>
      </c>
      <c r="C11" s="197" t="s">
        <v>227</v>
      </c>
      <c r="D11" s="185" t="s">
        <v>249</v>
      </c>
      <c r="E11" s="197" t="s">
        <v>250</v>
      </c>
      <c r="F11" s="185">
        <v>1625.42</v>
      </c>
      <c r="G11" s="213">
        <v>45382</v>
      </c>
      <c r="H11" s="214" t="s">
        <v>180</v>
      </c>
      <c r="I11" s="212">
        <v>25</v>
      </c>
      <c r="J11" s="185" t="s">
        <v>251</v>
      </c>
    </row>
    <row r="12" spans="1:10" x14ac:dyDescent="0.35">
      <c r="A12" s="197">
        <v>6</v>
      </c>
      <c r="B12" s="197">
        <v>51</v>
      </c>
      <c r="C12" s="197" t="s">
        <v>9</v>
      </c>
      <c r="D12" s="185" t="s">
        <v>258</v>
      </c>
      <c r="E12" s="197" t="s">
        <v>250</v>
      </c>
      <c r="F12" s="185">
        <v>139.41999999999999</v>
      </c>
      <c r="G12" s="213">
        <v>45382</v>
      </c>
      <c r="H12" s="211" t="s">
        <v>180</v>
      </c>
      <c r="I12" s="212">
        <v>25</v>
      </c>
      <c r="J12" s="185" t="s">
        <v>251</v>
      </c>
    </row>
    <row r="13" spans="1:10" x14ac:dyDescent="0.35">
      <c r="A13" s="197">
        <v>7</v>
      </c>
      <c r="B13" s="197">
        <v>51</v>
      </c>
      <c r="C13" s="197" t="s">
        <v>259</v>
      </c>
      <c r="D13" s="185" t="s">
        <v>260</v>
      </c>
      <c r="E13" s="197" t="s">
        <v>250</v>
      </c>
      <c r="F13" s="185">
        <v>583.99</v>
      </c>
      <c r="G13" s="213">
        <v>44651</v>
      </c>
      <c r="H13" s="214" t="s">
        <v>180</v>
      </c>
      <c r="I13" s="212">
        <v>25</v>
      </c>
      <c r="J13" s="185" t="s">
        <v>251</v>
      </c>
    </row>
    <row r="14" spans="1:10" x14ac:dyDescent="0.35">
      <c r="A14" s="197">
        <v>8</v>
      </c>
      <c r="B14" s="197">
        <v>51</v>
      </c>
      <c r="C14" s="197" t="s">
        <v>13</v>
      </c>
      <c r="D14" s="185" t="s">
        <v>249</v>
      </c>
      <c r="E14" s="197" t="s">
        <v>250</v>
      </c>
      <c r="F14" s="185">
        <v>352.2</v>
      </c>
      <c r="G14" s="213">
        <v>45382</v>
      </c>
      <c r="H14" s="214" t="s">
        <v>180</v>
      </c>
      <c r="I14" s="212">
        <v>25</v>
      </c>
      <c r="J14" s="185" t="s">
        <v>251</v>
      </c>
    </row>
    <row r="15" spans="1:10" x14ac:dyDescent="0.35">
      <c r="A15" s="197">
        <v>15</v>
      </c>
      <c r="B15" s="197">
        <v>35</v>
      </c>
      <c r="C15" s="197" t="s">
        <v>10</v>
      </c>
      <c r="D15" s="185" t="s">
        <v>187</v>
      </c>
      <c r="E15" s="197" t="s">
        <v>263</v>
      </c>
      <c r="F15" s="185">
        <v>305.29000000000002</v>
      </c>
      <c r="G15" s="213">
        <v>43555</v>
      </c>
      <c r="H15" s="214" t="s">
        <v>179</v>
      </c>
      <c r="I15" s="212">
        <v>460000</v>
      </c>
      <c r="J15" s="185" t="s">
        <v>264</v>
      </c>
    </row>
    <row r="16" spans="1:10" x14ac:dyDescent="0.35">
      <c r="A16" s="197">
        <v>50</v>
      </c>
      <c r="B16" s="197">
        <v>16</v>
      </c>
      <c r="C16" s="197" t="s">
        <v>253</v>
      </c>
      <c r="D16" s="185" t="s">
        <v>312</v>
      </c>
      <c r="E16" s="197" t="s">
        <v>282</v>
      </c>
      <c r="F16" s="185">
        <v>880.4</v>
      </c>
      <c r="G16" s="213">
        <v>43660</v>
      </c>
      <c r="H16" s="214" t="s">
        <v>179</v>
      </c>
      <c r="I16" s="212">
        <v>350000</v>
      </c>
      <c r="J16" s="185" t="s">
        <v>251</v>
      </c>
    </row>
    <row r="17" spans="1:10" x14ac:dyDescent="0.35">
      <c r="A17" s="197">
        <v>27</v>
      </c>
      <c r="B17" s="197">
        <v>27</v>
      </c>
      <c r="C17" s="197" t="s">
        <v>7</v>
      </c>
      <c r="D17" s="185" t="s">
        <v>281</v>
      </c>
      <c r="E17" s="197" t="s">
        <v>282</v>
      </c>
      <c r="F17" s="185">
        <v>289.7</v>
      </c>
      <c r="G17" s="213">
        <v>43830</v>
      </c>
      <c r="H17" s="214" t="s">
        <v>179</v>
      </c>
      <c r="I17" s="212">
        <v>420000</v>
      </c>
      <c r="J17" s="185" t="s">
        <v>251</v>
      </c>
    </row>
    <row r="18" spans="1:10" x14ac:dyDescent="0.35">
      <c r="A18" s="197">
        <v>62</v>
      </c>
      <c r="B18" s="197">
        <v>7</v>
      </c>
      <c r="C18" s="197" t="s">
        <v>268</v>
      </c>
      <c r="D18" s="185" t="s">
        <v>318</v>
      </c>
      <c r="E18" s="197" t="s">
        <v>279</v>
      </c>
      <c r="F18" s="185">
        <v>802.14</v>
      </c>
      <c r="G18" s="213">
        <v>43585</v>
      </c>
      <c r="H18" s="214" t="s">
        <v>180</v>
      </c>
      <c r="I18" s="212">
        <v>25</v>
      </c>
      <c r="J18" s="185" t="s">
        <v>271</v>
      </c>
    </row>
    <row r="19" spans="1:10" x14ac:dyDescent="0.35">
      <c r="A19" s="197">
        <v>68</v>
      </c>
      <c r="B19" s="197">
        <v>1</v>
      </c>
      <c r="C19" s="197"/>
      <c r="D19" s="185" t="s">
        <v>318</v>
      </c>
      <c r="E19" s="197" t="s">
        <v>279</v>
      </c>
      <c r="F19" s="185">
        <v>639.83000000000004</v>
      </c>
      <c r="G19" s="213">
        <v>44681</v>
      </c>
      <c r="H19" s="211" t="s">
        <v>180</v>
      </c>
      <c r="I19" s="212">
        <v>25</v>
      </c>
      <c r="J19" s="185" t="s">
        <v>271</v>
      </c>
    </row>
    <row r="20" spans="1:10" x14ac:dyDescent="0.35">
      <c r="A20" s="197">
        <v>66</v>
      </c>
      <c r="B20" s="197">
        <v>1</v>
      </c>
      <c r="C20" s="197"/>
      <c r="D20" s="185" t="s">
        <v>171</v>
      </c>
      <c r="E20" s="197" t="s">
        <v>279</v>
      </c>
      <c r="F20" s="185">
        <v>70</v>
      </c>
      <c r="G20" s="213">
        <v>43616</v>
      </c>
      <c r="H20" s="211" t="s">
        <v>179</v>
      </c>
      <c r="I20" s="212">
        <v>435000</v>
      </c>
      <c r="J20" s="185" t="s">
        <v>251</v>
      </c>
    </row>
    <row r="21" spans="1:10" x14ac:dyDescent="0.35">
      <c r="A21" s="197">
        <v>30</v>
      </c>
      <c r="B21" s="197">
        <v>26</v>
      </c>
      <c r="C21" s="197" t="s">
        <v>289</v>
      </c>
      <c r="D21" s="185" t="s">
        <v>182</v>
      </c>
      <c r="E21" s="197" t="s">
        <v>250</v>
      </c>
      <c r="F21" s="185">
        <v>977.74</v>
      </c>
      <c r="G21" s="213">
        <v>43621</v>
      </c>
      <c r="H21" s="214" t="s">
        <v>180</v>
      </c>
      <c r="I21" s="212">
        <v>25</v>
      </c>
      <c r="J21" s="185" t="s">
        <v>251</v>
      </c>
    </row>
    <row r="22" spans="1:10" x14ac:dyDescent="0.35">
      <c r="A22" s="197">
        <v>29</v>
      </c>
      <c r="B22" s="197">
        <v>27</v>
      </c>
      <c r="C22" s="197" t="s">
        <v>285</v>
      </c>
      <c r="D22" s="185" t="s">
        <v>286</v>
      </c>
      <c r="E22" s="197" t="s">
        <v>287</v>
      </c>
      <c r="F22" s="185">
        <v>1116.77</v>
      </c>
      <c r="G22" s="213">
        <v>44012</v>
      </c>
      <c r="H22" s="214" t="s">
        <v>180</v>
      </c>
      <c r="I22" s="212">
        <v>35</v>
      </c>
      <c r="J22" s="185" t="s">
        <v>288</v>
      </c>
    </row>
    <row r="23" spans="1:10" x14ac:dyDescent="0.35">
      <c r="A23" s="197">
        <v>32</v>
      </c>
      <c r="B23" s="197">
        <v>25</v>
      </c>
      <c r="C23" s="197" t="s">
        <v>8</v>
      </c>
      <c r="D23" s="185" t="s">
        <v>286</v>
      </c>
      <c r="E23" s="197" t="s">
        <v>252</v>
      </c>
      <c r="F23" s="185">
        <v>137.66999999999999</v>
      </c>
      <c r="G23" s="213">
        <v>44012</v>
      </c>
      <c r="H23" s="214" t="s">
        <v>180</v>
      </c>
      <c r="I23" s="212">
        <v>35</v>
      </c>
      <c r="J23" s="185" t="s">
        <v>288</v>
      </c>
    </row>
    <row r="24" spans="1:10" x14ac:dyDescent="0.35">
      <c r="A24" s="197">
        <v>10</v>
      </c>
      <c r="B24" s="197">
        <v>39</v>
      </c>
      <c r="C24" s="197" t="s">
        <v>227</v>
      </c>
      <c r="D24" s="185" t="s">
        <v>25</v>
      </c>
      <c r="E24" s="197" t="s">
        <v>250</v>
      </c>
      <c r="F24" s="185">
        <v>1634.64</v>
      </c>
      <c r="G24" s="213">
        <v>47269</v>
      </c>
      <c r="H24" s="214" t="s">
        <v>180</v>
      </c>
      <c r="I24" s="212">
        <v>25</v>
      </c>
      <c r="J24" s="185" t="s">
        <v>251</v>
      </c>
    </row>
    <row r="25" spans="1:10" x14ac:dyDescent="0.35">
      <c r="A25" s="197">
        <v>11</v>
      </c>
      <c r="B25" s="197">
        <v>38</v>
      </c>
      <c r="C25" s="197" t="s">
        <v>227</v>
      </c>
      <c r="D25" s="185" t="s">
        <v>25</v>
      </c>
      <c r="E25" s="197" t="s">
        <v>250</v>
      </c>
      <c r="F25" s="185">
        <v>1630.58</v>
      </c>
      <c r="G25" s="213">
        <v>47269</v>
      </c>
      <c r="H25" s="214" t="s">
        <v>180</v>
      </c>
      <c r="I25" s="212">
        <v>25</v>
      </c>
      <c r="J25" s="185" t="s">
        <v>251</v>
      </c>
    </row>
    <row r="26" spans="1:10" x14ac:dyDescent="0.35">
      <c r="A26" s="197">
        <v>12</v>
      </c>
      <c r="B26" s="197">
        <v>37</v>
      </c>
      <c r="C26" s="197" t="s">
        <v>227</v>
      </c>
      <c r="D26" s="185" t="s">
        <v>25</v>
      </c>
      <c r="E26" s="197" t="s">
        <v>250</v>
      </c>
      <c r="F26" s="185">
        <v>1631.63</v>
      </c>
      <c r="G26" s="213">
        <v>47269</v>
      </c>
      <c r="H26" s="214" t="s">
        <v>180</v>
      </c>
      <c r="I26" s="212">
        <v>25</v>
      </c>
      <c r="J26" s="185" t="s">
        <v>251</v>
      </c>
    </row>
    <row r="27" spans="1:10" x14ac:dyDescent="0.35">
      <c r="A27" s="197">
        <v>13</v>
      </c>
      <c r="B27" s="197">
        <v>36</v>
      </c>
      <c r="C27" s="197" t="s">
        <v>227</v>
      </c>
      <c r="D27" s="185" t="s">
        <v>25</v>
      </c>
      <c r="E27" s="197" t="s">
        <v>250</v>
      </c>
      <c r="F27" s="185">
        <v>1631.63</v>
      </c>
      <c r="G27" s="213">
        <v>47269</v>
      </c>
      <c r="H27" s="214" t="s">
        <v>180</v>
      </c>
      <c r="I27" s="212">
        <v>25</v>
      </c>
      <c r="J27" s="185" t="s">
        <v>251</v>
      </c>
    </row>
    <row r="28" spans="1:10" x14ac:dyDescent="0.35">
      <c r="A28" s="197">
        <v>14</v>
      </c>
      <c r="B28" s="197">
        <v>35</v>
      </c>
      <c r="C28" s="197" t="s">
        <v>262</v>
      </c>
      <c r="D28" s="185" t="s">
        <v>25</v>
      </c>
      <c r="E28" s="197" t="s">
        <v>250</v>
      </c>
      <c r="F28" s="185">
        <v>1191.6199999999999</v>
      </c>
      <c r="G28" s="213">
        <v>47269</v>
      </c>
      <c r="H28" s="214" t="s">
        <v>180</v>
      </c>
      <c r="I28" s="212">
        <v>25</v>
      </c>
      <c r="J28" s="185" t="s">
        <v>251</v>
      </c>
    </row>
    <row r="29" spans="1:10" x14ac:dyDescent="0.35">
      <c r="A29" s="197">
        <v>18</v>
      </c>
      <c r="B29" s="197">
        <v>33</v>
      </c>
      <c r="C29" s="197" t="s">
        <v>268</v>
      </c>
      <c r="D29" s="185" t="s">
        <v>25</v>
      </c>
      <c r="E29" s="197" t="s">
        <v>250</v>
      </c>
      <c r="F29" s="185">
        <v>925.4</v>
      </c>
      <c r="G29" s="213">
        <v>47269</v>
      </c>
      <c r="H29" s="214" t="s">
        <v>180</v>
      </c>
      <c r="I29" s="212">
        <v>25</v>
      </c>
      <c r="J29" s="185" t="s">
        <v>251</v>
      </c>
    </row>
    <row r="30" spans="1:10" x14ac:dyDescent="0.35">
      <c r="A30" s="197">
        <v>26</v>
      </c>
      <c r="B30" s="197">
        <v>28</v>
      </c>
      <c r="C30" s="197" t="s">
        <v>227</v>
      </c>
      <c r="D30" s="185" t="s">
        <v>25</v>
      </c>
      <c r="E30" s="197" t="s">
        <v>250</v>
      </c>
      <c r="F30" s="185">
        <v>1619.22</v>
      </c>
      <c r="G30" s="213">
        <v>47269</v>
      </c>
      <c r="H30" s="214" t="s">
        <v>180</v>
      </c>
      <c r="I30" s="212">
        <v>25</v>
      </c>
      <c r="J30" s="185" t="s">
        <v>251</v>
      </c>
    </row>
    <row r="31" spans="1:10" x14ac:dyDescent="0.35">
      <c r="A31" s="197">
        <v>35</v>
      </c>
      <c r="B31" s="197">
        <v>23</v>
      </c>
      <c r="C31" s="197" t="s">
        <v>7</v>
      </c>
      <c r="D31" s="185" t="s">
        <v>25</v>
      </c>
      <c r="E31" s="197" t="s">
        <v>250</v>
      </c>
      <c r="F31" s="185">
        <v>439.08</v>
      </c>
      <c r="G31" s="213">
        <v>47269</v>
      </c>
      <c r="H31" s="214" t="s">
        <v>180</v>
      </c>
      <c r="I31" s="212">
        <v>25</v>
      </c>
      <c r="J31" s="185" t="s">
        <v>251</v>
      </c>
    </row>
    <row r="32" spans="1:10" x14ac:dyDescent="0.35">
      <c r="A32" s="197">
        <v>22</v>
      </c>
      <c r="B32" s="197">
        <v>30</v>
      </c>
      <c r="C32" s="197" t="s">
        <v>227</v>
      </c>
      <c r="D32" s="185" t="s">
        <v>274</v>
      </c>
      <c r="E32" s="197" t="s">
        <v>263</v>
      </c>
      <c r="F32" s="185">
        <v>1631.62</v>
      </c>
      <c r="G32" s="213">
        <v>43708</v>
      </c>
      <c r="H32" s="214" t="s">
        <v>180</v>
      </c>
      <c r="I32" s="212">
        <v>35</v>
      </c>
      <c r="J32" s="185" t="s">
        <v>251</v>
      </c>
    </row>
    <row r="33" spans="1:10" x14ac:dyDescent="0.35">
      <c r="A33" s="197">
        <v>37</v>
      </c>
      <c r="B33" s="197">
        <v>23</v>
      </c>
      <c r="C33" s="197" t="s">
        <v>12</v>
      </c>
      <c r="D33" s="185" t="s">
        <v>295</v>
      </c>
      <c r="E33" s="197" t="s">
        <v>263</v>
      </c>
      <c r="F33" s="185">
        <v>137.68</v>
      </c>
      <c r="G33" s="213">
        <v>43722</v>
      </c>
      <c r="H33" s="214" t="s">
        <v>179</v>
      </c>
      <c r="I33" s="212">
        <v>450000</v>
      </c>
      <c r="J33" s="185" t="s">
        <v>271</v>
      </c>
    </row>
    <row r="34" spans="1:10" x14ac:dyDescent="0.35">
      <c r="A34" s="197">
        <v>3</v>
      </c>
      <c r="B34" s="197">
        <v>52</v>
      </c>
      <c r="C34" s="197" t="s">
        <v>236</v>
      </c>
      <c r="D34" s="185" t="s">
        <v>238</v>
      </c>
      <c r="E34" s="197" t="s">
        <v>250</v>
      </c>
      <c r="F34" s="185">
        <v>702.98</v>
      </c>
      <c r="G34" s="213">
        <v>43752</v>
      </c>
      <c r="H34" s="214" t="s">
        <v>179</v>
      </c>
      <c r="I34" s="212">
        <v>383000</v>
      </c>
      <c r="J34" s="185" t="s">
        <v>251</v>
      </c>
    </row>
    <row r="35" spans="1:10" x14ac:dyDescent="0.35">
      <c r="A35" s="197">
        <v>46</v>
      </c>
      <c r="B35" s="197">
        <v>19</v>
      </c>
      <c r="C35" s="197" t="s">
        <v>11</v>
      </c>
      <c r="D35" s="185" t="s">
        <v>309</v>
      </c>
      <c r="E35" s="197" t="s">
        <v>282</v>
      </c>
      <c r="F35" s="185">
        <v>250.99</v>
      </c>
      <c r="G35" s="213">
        <v>43769</v>
      </c>
      <c r="H35" s="214" t="s">
        <v>179</v>
      </c>
      <c r="I35" s="212">
        <v>420000</v>
      </c>
      <c r="J35" s="185" t="s">
        <v>251</v>
      </c>
    </row>
    <row r="36" spans="1:10" x14ac:dyDescent="0.35">
      <c r="A36" s="197">
        <v>63</v>
      </c>
      <c r="B36" s="197">
        <v>6</v>
      </c>
      <c r="C36" s="197" t="s">
        <v>227</v>
      </c>
      <c r="D36" s="185" t="s">
        <v>320</v>
      </c>
      <c r="E36" s="197" t="s">
        <v>282</v>
      </c>
      <c r="F36" s="185">
        <v>1485.69</v>
      </c>
      <c r="G36" s="213">
        <v>43769</v>
      </c>
      <c r="H36" s="214" t="s">
        <v>179</v>
      </c>
      <c r="I36" s="212">
        <v>383180</v>
      </c>
      <c r="J36" s="185" t="s">
        <v>288</v>
      </c>
    </row>
    <row r="37" spans="1:10" x14ac:dyDescent="0.35">
      <c r="A37" s="197">
        <v>64</v>
      </c>
      <c r="B37" s="197">
        <v>5</v>
      </c>
      <c r="C37" s="197" t="s">
        <v>227</v>
      </c>
      <c r="D37" s="185" t="s">
        <v>320</v>
      </c>
      <c r="E37" s="197" t="s">
        <v>282</v>
      </c>
      <c r="F37" s="185">
        <v>1505.1</v>
      </c>
      <c r="G37" s="213">
        <v>43769</v>
      </c>
      <c r="H37" s="214" t="s">
        <v>179</v>
      </c>
      <c r="I37" s="212">
        <v>383180</v>
      </c>
      <c r="J37" s="185" t="s">
        <v>288</v>
      </c>
    </row>
    <row r="38" spans="1:10" x14ac:dyDescent="0.35">
      <c r="A38" s="197">
        <v>57</v>
      </c>
      <c r="B38" s="197">
        <v>10</v>
      </c>
      <c r="C38" s="197" t="s">
        <v>9</v>
      </c>
      <c r="D38" s="185" t="s">
        <v>217</v>
      </c>
      <c r="E38" s="197" t="s">
        <v>282</v>
      </c>
      <c r="F38" s="185">
        <v>135.9</v>
      </c>
      <c r="G38" s="213">
        <v>43783</v>
      </c>
      <c r="H38" s="211" t="s">
        <v>179</v>
      </c>
      <c r="I38" s="212">
        <v>445000</v>
      </c>
      <c r="J38" s="185" t="s">
        <v>316</v>
      </c>
    </row>
    <row r="39" spans="1:10" x14ac:dyDescent="0.35">
      <c r="A39" s="197">
        <v>19</v>
      </c>
      <c r="B39" s="197">
        <v>32</v>
      </c>
      <c r="C39" s="197" t="s">
        <v>256</v>
      </c>
      <c r="D39" s="185" t="s">
        <v>269</v>
      </c>
      <c r="E39" s="197" t="s">
        <v>270</v>
      </c>
      <c r="F39" s="185">
        <v>343.98</v>
      </c>
      <c r="G39" s="213">
        <v>43813</v>
      </c>
      <c r="H39" s="214" t="s">
        <v>180</v>
      </c>
      <c r="I39" s="212">
        <v>37</v>
      </c>
      <c r="J39" s="185" t="s">
        <v>271</v>
      </c>
    </row>
    <row r="40" spans="1:10" x14ac:dyDescent="0.35">
      <c r="A40" s="197">
        <v>59</v>
      </c>
      <c r="B40" s="197">
        <v>9</v>
      </c>
      <c r="C40" s="197" t="s">
        <v>8</v>
      </c>
      <c r="D40" s="185" t="s">
        <v>317</v>
      </c>
      <c r="E40" s="197" t="s">
        <v>279</v>
      </c>
      <c r="F40" s="185">
        <v>137.51</v>
      </c>
      <c r="G40" s="213">
        <v>43889</v>
      </c>
      <c r="H40" s="211" t="s">
        <v>179</v>
      </c>
      <c r="I40" s="212">
        <v>435000</v>
      </c>
      <c r="J40" s="185"/>
    </row>
    <row r="41" spans="1:10" x14ac:dyDescent="0.35">
      <c r="A41" s="197">
        <v>49</v>
      </c>
      <c r="B41" s="197">
        <v>17</v>
      </c>
      <c r="C41" s="197" t="s">
        <v>299</v>
      </c>
      <c r="D41" s="185" t="s">
        <v>311</v>
      </c>
      <c r="E41" s="197" t="s">
        <v>284</v>
      </c>
      <c r="F41" s="185">
        <v>1021.32</v>
      </c>
      <c r="G41" s="213">
        <v>43890</v>
      </c>
      <c r="H41" s="214" t="s">
        <v>179</v>
      </c>
      <c r="I41" s="212">
        <v>450000</v>
      </c>
      <c r="J41" s="185" t="s">
        <v>271</v>
      </c>
    </row>
    <row r="42" spans="1:10" x14ac:dyDescent="0.35">
      <c r="A42" s="197">
        <v>5</v>
      </c>
      <c r="B42" s="197" t="s">
        <v>255</v>
      </c>
      <c r="C42" s="197" t="s">
        <v>256</v>
      </c>
      <c r="D42" s="185" t="s">
        <v>257</v>
      </c>
      <c r="E42" s="197" t="s">
        <v>250</v>
      </c>
      <c r="F42" s="185">
        <v>376.03</v>
      </c>
      <c r="G42" s="213">
        <v>43920</v>
      </c>
      <c r="H42" s="214" t="s">
        <v>179</v>
      </c>
      <c r="I42" s="212">
        <v>383000</v>
      </c>
      <c r="J42" s="185" t="s">
        <v>251</v>
      </c>
    </row>
    <row r="43" spans="1:10" x14ac:dyDescent="0.35">
      <c r="A43" s="197">
        <v>4</v>
      </c>
      <c r="B43" s="197">
        <v>52</v>
      </c>
      <c r="C43" s="197" t="s">
        <v>253</v>
      </c>
      <c r="D43" s="185" t="s">
        <v>254</v>
      </c>
      <c r="E43" s="197" t="s">
        <v>250</v>
      </c>
      <c r="F43" s="185">
        <v>925.94</v>
      </c>
      <c r="G43" s="213">
        <v>43921</v>
      </c>
      <c r="H43" s="214" t="s">
        <v>179</v>
      </c>
      <c r="I43" s="212">
        <v>383000</v>
      </c>
      <c r="J43" s="185" t="s">
        <v>251</v>
      </c>
    </row>
    <row r="44" spans="1:10" x14ac:dyDescent="0.35">
      <c r="A44" s="197">
        <v>9</v>
      </c>
      <c r="B44" s="197">
        <v>50</v>
      </c>
      <c r="C44" s="197" t="s">
        <v>227</v>
      </c>
      <c r="D44" s="185" t="s">
        <v>162</v>
      </c>
      <c r="E44" s="197" t="s">
        <v>261</v>
      </c>
      <c r="F44" s="185">
        <v>1634.64</v>
      </c>
      <c r="G44" s="213">
        <v>43921</v>
      </c>
      <c r="H44" s="214" t="s">
        <v>179</v>
      </c>
      <c r="I44" s="212">
        <v>367500</v>
      </c>
      <c r="J44" s="185" t="s">
        <v>251</v>
      </c>
    </row>
    <row r="45" spans="1:10" x14ac:dyDescent="0.35">
      <c r="A45" s="197"/>
      <c r="B45" s="197">
        <v>25</v>
      </c>
      <c r="C45" s="197" t="s">
        <v>10</v>
      </c>
      <c r="D45" s="185" t="s">
        <v>235</v>
      </c>
      <c r="E45" s="197" t="s">
        <v>290</v>
      </c>
      <c r="F45" s="185">
        <v>306.92</v>
      </c>
      <c r="G45" s="213">
        <v>43921</v>
      </c>
      <c r="H45" s="214" t="s">
        <v>179</v>
      </c>
      <c r="I45" s="212">
        <v>383000</v>
      </c>
      <c r="J45" s="185" t="s">
        <v>291</v>
      </c>
    </row>
    <row r="46" spans="1:10" x14ac:dyDescent="0.35">
      <c r="A46" s="197">
        <v>58</v>
      </c>
      <c r="B46" s="197">
        <v>10</v>
      </c>
      <c r="C46" s="197" t="s">
        <v>13</v>
      </c>
      <c r="D46" s="185" t="s">
        <v>233</v>
      </c>
      <c r="E46" s="197" t="s">
        <v>261</v>
      </c>
      <c r="F46" s="185">
        <v>137</v>
      </c>
      <c r="G46" s="213">
        <v>43921</v>
      </c>
      <c r="H46" s="211" t="s">
        <v>179</v>
      </c>
      <c r="I46" s="212">
        <v>480000</v>
      </c>
      <c r="J46" s="185" t="s">
        <v>316</v>
      </c>
    </row>
    <row r="47" spans="1:10" x14ac:dyDescent="0.35">
      <c r="A47" s="197">
        <v>38</v>
      </c>
      <c r="B47" s="197">
        <v>23</v>
      </c>
      <c r="C47" s="197" t="s">
        <v>296</v>
      </c>
      <c r="D47" s="185" t="s">
        <v>297</v>
      </c>
      <c r="E47" s="197" t="s">
        <v>282</v>
      </c>
      <c r="F47" s="185">
        <v>137.71</v>
      </c>
      <c r="G47" s="213">
        <v>43965</v>
      </c>
      <c r="H47" s="214" t="s">
        <v>179</v>
      </c>
      <c r="I47" s="212">
        <v>490000</v>
      </c>
      <c r="J47" s="185" t="s">
        <v>298</v>
      </c>
    </row>
    <row r="48" spans="1:10" x14ac:dyDescent="0.35">
      <c r="A48" s="197">
        <v>39</v>
      </c>
      <c r="B48" s="197">
        <v>21</v>
      </c>
      <c r="C48" s="197" t="s">
        <v>299</v>
      </c>
      <c r="D48" s="185" t="s">
        <v>300</v>
      </c>
      <c r="E48" s="197" t="s">
        <v>284</v>
      </c>
      <c r="F48" s="185">
        <v>1021.32</v>
      </c>
      <c r="G48" s="213">
        <v>43965</v>
      </c>
      <c r="H48" s="211" t="s">
        <v>179</v>
      </c>
      <c r="I48" s="212">
        <v>430000</v>
      </c>
      <c r="J48" s="185" t="s">
        <v>251</v>
      </c>
    </row>
    <row r="49" spans="1:10" x14ac:dyDescent="0.35">
      <c r="A49" s="197">
        <v>16</v>
      </c>
      <c r="B49" s="197">
        <v>35</v>
      </c>
      <c r="C49" s="197" t="s">
        <v>11</v>
      </c>
      <c r="D49" s="185" t="s">
        <v>215</v>
      </c>
      <c r="E49" s="197" t="s">
        <v>265</v>
      </c>
      <c r="F49" s="185">
        <v>130.91999999999999</v>
      </c>
      <c r="G49" s="213">
        <v>43982</v>
      </c>
      <c r="H49" s="214" t="s">
        <v>179</v>
      </c>
      <c r="I49" s="212">
        <v>455000</v>
      </c>
      <c r="J49" s="185" t="s">
        <v>266</v>
      </c>
    </row>
    <row r="50" spans="1:10" x14ac:dyDescent="0.35">
      <c r="A50" s="197">
        <v>41</v>
      </c>
      <c r="B50" s="197">
        <v>20</v>
      </c>
      <c r="C50" s="197" t="s">
        <v>11</v>
      </c>
      <c r="D50" s="185" t="s">
        <v>215</v>
      </c>
      <c r="E50" s="197" t="s">
        <v>265</v>
      </c>
      <c r="F50" s="185">
        <v>250.99</v>
      </c>
      <c r="G50" s="213">
        <v>43982</v>
      </c>
      <c r="H50" s="214" t="s">
        <v>179</v>
      </c>
      <c r="I50" s="212">
        <v>460000</v>
      </c>
      <c r="J50" s="185" t="s">
        <v>266</v>
      </c>
    </row>
    <row r="51" spans="1:10" x14ac:dyDescent="0.35">
      <c r="A51" s="197">
        <v>25</v>
      </c>
      <c r="B51" s="197">
        <v>29</v>
      </c>
      <c r="C51" s="197" t="s">
        <v>277</v>
      </c>
      <c r="D51" s="185" t="s">
        <v>278</v>
      </c>
      <c r="E51" s="197" t="s">
        <v>279</v>
      </c>
      <c r="F51" s="185">
        <v>137.66999999999999</v>
      </c>
      <c r="G51" s="213">
        <v>44012</v>
      </c>
      <c r="H51" s="211" t="s">
        <v>179</v>
      </c>
      <c r="I51" s="212">
        <v>430000</v>
      </c>
      <c r="J51" s="185" t="s">
        <v>251</v>
      </c>
    </row>
    <row r="52" spans="1:10" x14ac:dyDescent="0.35">
      <c r="A52" s="197">
        <v>28</v>
      </c>
      <c r="B52" s="197">
        <v>27</v>
      </c>
      <c r="C52" s="197" t="s">
        <v>8</v>
      </c>
      <c r="D52" s="185" t="s">
        <v>283</v>
      </c>
      <c r="E52" s="197" t="s">
        <v>284</v>
      </c>
      <c r="F52" s="185">
        <v>137.66999999999999</v>
      </c>
      <c r="G52" s="213">
        <v>44012</v>
      </c>
      <c r="H52" s="214" t="s">
        <v>179</v>
      </c>
      <c r="I52" s="212">
        <v>440000</v>
      </c>
      <c r="J52" s="185" t="s">
        <v>251</v>
      </c>
    </row>
    <row r="53" spans="1:10" x14ac:dyDescent="0.35">
      <c r="A53" s="197">
        <v>33</v>
      </c>
      <c r="B53" s="197">
        <v>25</v>
      </c>
      <c r="C53" s="197" t="s">
        <v>9</v>
      </c>
      <c r="D53" s="185" t="s">
        <v>283</v>
      </c>
      <c r="E53" s="197" t="s">
        <v>284</v>
      </c>
      <c r="F53" s="185">
        <v>137.66999999999999</v>
      </c>
      <c r="G53" s="213">
        <v>44012</v>
      </c>
      <c r="H53" s="214" t="s">
        <v>179</v>
      </c>
      <c r="I53" s="212">
        <v>440000</v>
      </c>
      <c r="J53" s="185" t="s">
        <v>251</v>
      </c>
    </row>
    <row r="54" spans="1:10" x14ac:dyDescent="0.35">
      <c r="A54" s="197">
        <v>48</v>
      </c>
      <c r="B54" s="197">
        <v>18</v>
      </c>
      <c r="C54" s="197" t="s">
        <v>227</v>
      </c>
      <c r="D54" s="185" t="s">
        <v>310</v>
      </c>
      <c r="E54" s="197" t="s">
        <v>279</v>
      </c>
      <c r="F54" s="185">
        <v>1568.72</v>
      </c>
      <c r="G54" s="213">
        <v>44012</v>
      </c>
      <c r="H54" s="214" t="s">
        <v>180</v>
      </c>
      <c r="I54" s="212">
        <v>29</v>
      </c>
      <c r="J54" s="185" t="s">
        <v>251</v>
      </c>
    </row>
    <row r="55" spans="1:10" x14ac:dyDescent="0.35">
      <c r="A55" s="197"/>
      <c r="B55" s="197">
        <v>15</v>
      </c>
      <c r="C55" s="197" t="s">
        <v>227</v>
      </c>
      <c r="D55" s="185" t="s">
        <v>314</v>
      </c>
      <c r="E55" s="197" t="s">
        <v>252</v>
      </c>
      <c r="F55" s="185">
        <v>1547.75</v>
      </c>
      <c r="G55" s="213">
        <v>44043</v>
      </c>
      <c r="H55" s="214" t="s">
        <v>180</v>
      </c>
      <c r="I55" s="212">
        <v>32</v>
      </c>
      <c r="J55" s="185" t="s">
        <v>251</v>
      </c>
    </row>
    <row r="56" spans="1:10" x14ac:dyDescent="0.35">
      <c r="A56" s="197">
        <v>44</v>
      </c>
      <c r="B56" s="197">
        <v>19</v>
      </c>
      <c r="C56" s="197" t="s">
        <v>306</v>
      </c>
      <c r="D56" s="185" t="s">
        <v>307</v>
      </c>
      <c r="E56" s="197" t="s">
        <v>261</v>
      </c>
      <c r="F56" s="185">
        <v>852.12</v>
      </c>
      <c r="G56" s="213">
        <v>44074</v>
      </c>
      <c r="H56" s="211" t="s">
        <v>179</v>
      </c>
      <c r="I56" s="212">
        <v>425000</v>
      </c>
      <c r="J56" s="185" t="s">
        <v>251</v>
      </c>
    </row>
    <row r="57" spans="1:10" x14ac:dyDescent="0.35">
      <c r="A57" s="197">
        <v>60</v>
      </c>
      <c r="B57" s="197">
        <v>8</v>
      </c>
      <c r="C57" s="197" t="s">
        <v>227</v>
      </c>
      <c r="D57" s="185" t="s">
        <v>318</v>
      </c>
      <c r="E57" s="197" t="s">
        <v>279</v>
      </c>
      <c r="F57" s="185">
        <v>1518.35</v>
      </c>
      <c r="G57" s="213">
        <v>44074</v>
      </c>
      <c r="H57" s="214" t="s">
        <v>180</v>
      </c>
      <c r="I57" s="212">
        <v>35</v>
      </c>
      <c r="J57" s="185" t="s">
        <v>271</v>
      </c>
    </row>
    <row r="58" spans="1:10" x14ac:dyDescent="0.35">
      <c r="A58" s="197">
        <v>52</v>
      </c>
      <c r="B58" s="197">
        <v>16</v>
      </c>
      <c r="C58" s="197" t="s">
        <v>299</v>
      </c>
      <c r="D58" s="185" t="s">
        <v>224</v>
      </c>
      <c r="E58" s="197" t="s">
        <v>290</v>
      </c>
      <c r="F58" s="211" t="s">
        <v>313</v>
      </c>
      <c r="G58" s="213">
        <v>44088</v>
      </c>
      <c r="H58" s="214" t="s">
        <v>179</v>
      </c>
      <c r="I58" s="212">
        <v>425000</v>
      </c>
      <c r="J58" s="185"/>
    </row>
    <row r="59" spans="1:10" x14ac:dyDescent="0.35">
      <c r="A59" s="217"/>
      <c r="B59" s="217">
        <v>29</v>
      </c>
      <c r="C59" s="217" t="s">
        <v>13</v>
      </c>
      <c r="D59" s="218" t="s">
        <v>280</v>
      </c>
      <c r="E59" s="217" t="s">
        <v>279</v>
      </c>
      <c r="F59" s="218">
        <v>137.66999999999999</v>
      </c>
      <c r="G59" s="219">
        <v>44104</v>
      </c>
      <c r="H59" s="220" t="s">
        <v>179</v>
      </c>
      <c r="I59" s="221">
        <v>450000</v>
      </c>
      <c r="J59" s="218" t="s">
        <v>251</v>
      </c>
    </row>
    <row r="60" spans="1:10" x14ac:dyDescent="0.35">
      <c r="A60" s="197">
        <v>55</v>
      </c>
      <c r="B60" s="197">
        <v>10</v>
      </c>
      <c r="C60" s="197" t="s">
        <v>7</v>
      </c>
      <c r="D60" s="185" t="s">
        <v>226</v>
      </c>
      <c r="E60" s="197" t="s">
        <v>282</v>
      </c>
      <c r="F60" s="185">
        <v>287.33999999999997</v>
      </c>
      <c r="G60" s="213">
        <v>44104</v>
      </c>
      <c r="H60" s="211" t="s">
        <v>179</v>
      </c>
      <c r="I60" s="212">
        <v>430000</v>
      </c>
      <c r="J60" s="185" t="s">
        <v>251</v>
      </c>
    </row>
    <row r="61" spans="1:10" x14ac:dyDescent="0.35">
      <c r="A61" s="197">
        <v>23</v>
      </c>
      <c r="B61" s="197">
        <v>29</v>
      </c>
      <c r="C61" s="197" t="s">
        <v>11</v>
      </c>
      <c r="D61" s="185" t="s">
        <v>231</v>
      </c>
      <c r="E61" s="197" t="s">
        <v>275</v>
      </c>
      <c r="F61" s="185">
        <v>280.01</v>
      </c>
      <c r="G61" s="213">
        <v>44135</v>
      </c>
      <c r="H61" s="214" t="s">
        <v>179</v>
      </c>
      <c r="I61" s="212">
        <v>383000</v>
      </c>
      <c r="J61" s="185" t="s">
        <v>251</v>
      </c>
    </row>
    <row r="62" spans="1:10" x14ac:dyDescent="0.35">
      <c r="A62" s="197">
        <v>42</v>
      </c>
      <c r="B62" s="197">
        <v>20</v>
      </c>
      <c r="C62" s="197" t="s">
        <v>12</v>
      </c>
      <c r="D62" s="185" t="s">
        <v>165</v>
      </c>
      <c r="E62" s="197" t="s">
        <v>304</v>
      </c>
      <c r="F62" s="185">
        <v>137.68</v>
      </c>
      <c r="G62" s="216">
        <v>44196</v>
      </c>
      <c r="H62" s="214" t="s">
        <v>179</v>
      </c>
      <c r="I62" s="212">
        <v>475000</v>
      </c>
      <c r="J62" s="185" t="s">
        <v>271</v>
      </c>
    </row>
    <row r="63" spans="1:10" x14ac:dyDescent="0.35">
      <c r="A63" s="197">
        <v>21</v>
      </c>
      <c r="B63" s="197">
        <v>31</v>
      </c>
      <c r="C63" s="197" t="s">
        <v>259</v>
      </c>
      <c r="D63" s="185" t="s">
        <v>186</v>
      </c>
      <c r="E63" s="197" t="s">
        <v>261</v>
      </c>
      <c r="F63" s="185">
        <v>923.52</v>
      </c>
      <c r="G63" s="213">
        <v>44286</v>
      </c>
      <c r="H63" s="214" t="s">
        <v>179</v>
      </c>
      <c r="I63" s="212">
        <v>450000</v>
      </c>
      <c r="J63" s="185" t="s">
        <v>273</v>
      </c>
    </row>
    <row r="64" spans="1:10" x14ac:dyDescent="0.35">
      <c r="A64" s="197">
        <v>40</v>
      </c>
      <c r="B64" s="197">
        <v>20</v>
      </c>
      <c r="C64" s="197" t="s">
        <v>301</v>
      </c>
      <c r="D64" s="185" t="s">
        <v>302</v>
      </c>
      <c r="E64" s="197" t="s">
        <v>303</v>
      </c>
      <c r="F64" s="185">
        <v>651.25</v>
      </c>
      <c r="G64" s="213">
        <v>44301</v>
      </c>
      <c r="H64" s="214" t="s">
        <v>180</v>
      </c>
      <c r="I64" s="212">
        <v>37</v>
      </c>
      <c r="J64" s="185" t="s">
        <v>251</v>
      </c>
    </row>
    <row r="65" spans="1:10" x14ac:dyDescent="0.35">
      <c r="A65" s="197">
        <v>31</v>
      </c>
      <c r="B65" s="197">
        <v>26</v>
      </c>
      <c r="C65" s="197" t="s">
        <v>276</v>
      </c>
      <c r="D65" s="185" t="s">
        <v>214</v>
      </c>
      <c r="E65" s="197" t="s">
        <v>263</v>
      </c>
      <c r="F65" s="185">
        <v>582.25</v>
      </c>
      <c r="G65" s="213">
        <v>44316</v>
      </c>
      <c r="H65" s="214" t="s">
        <v>179</v>
      </c>
      <c r="I65" s="212">
        <v>440000</v>
      </c>
      <c r="J65" s="185" t="s">
        <v>271</v>
      </c>
    </row>
    <row r="66" spans="1:10" x14ac:dyDescent="0.35">
      <c r="A66" s="197">
        <v>43</v>
      </c>
      <c r="B66" s="197">
        <v>20</v>
      </c>
      <c r="C66" s="197" t="s">
        <v>13</v>
      </c>
      <c r="D66" s="185" t="s">
        <v>305</v>
      </c>
      <c r="E66" s="197" t="s">
        <v>282</v>
      </c>
      <c r="F66" s="185">
        <v>137.68</v>
      </c>
      <c r="G66" s="213">
        <v>44408</v>
      </c>
      <c r="H66" s="214" t="s">
        <v>179</v>
      </c>
      <c r="I66" s="212">
        <v>450000</v>
      </c>
      <c r="J66" s="185" t="s">
        <v>271</v>
      </c>
    </row>
    <row r="67" spans="1:10" x14ac:dyDescent="0.35">
      <c r="A67" s="197">
        <v>56</v>
      </c>
      <c r="B67" s="197">
        <v>10</v>
      </c>
      <c r="C67" s="197" t="s">
        <v>8</v>
      </c>
      <c r="D67" s="185" t="s">
        <v>315</v>
      </c>
      <c r="E67" s="197" t="s">
        <v>282</v>
      </c>
      <c r="F67" s="185">
        <v>135.97999999999999</v>
      </c>
      <c r="G67" s="215">
        <v>44477</v>
      </c>
      <c r="H67" s="214" t="s">
        <v>179</v>
      </c>
      <c r="I67" s="212">
        <v>435000</v>
      </c>
      <c r="J67" s="185" t="s">
        <v>251</v>
      </c>
    </row>
    <row r="68" spans="1:10" x14ac:dyDescent="0.35">
      <c r="A68" s="197">
        <v>36</v>
      </c>
      <c r="B68" s="197">
        <v>23</v>
      </c>
      <c r="C68" s="197" t="s">
        <v>276</v>
      </c>
      <c r="D68" s="185" t="s">
        <v>293</v>
      </c>
      <c r="E68" s="197" t="s">
        <v>282</v>
      </c>
      <c r="F68" s="185">
        <v>582.25</v>
      </c>
      <c r="G68" s="213">
        <v>44530</v>
      </c>
      <c r="H68" s="214" t="s">
        <v>180</v>
      </c>
      <c r="I68" s="212">
        <v>37</v>
      </c>
      <c r="J68" s="185" t="s">
        <v>294</v>
      </c>
    </row>
    <row r="69" spans="1:10" x14ac:dyDescent="0.35">
      <c r="A69" s="197">
        <v>53</v>
      </c>
      <c r="B69" s="197">
        <v>12</v>
      </c>
      <c r="C69" s="197" t="s">
        <v>227</v>
      </c>
      <c r="D69" s="185" t="s">
        <v>308</v>
      </c>
      <c r="E69" s="197" t="s">
        <v>250</v>
      </c>
      <c r="F69" s="185">
        <v>1565.69</v>
      </c>
      <c r="G69" s="213">
        <v>44544</v>
      </c>
      <c r="H69" s="214" t="s">
        <v>179</v>
      </c>
      <c r="I69" s="212">
        <v>383000</v>
      </c>
      <c r="J69" s="185" t="s">
        <v>251</v>
      </c>
    </row>
    <row r="70" spans="1:10" x14ac:dyDescent="0.35">
      <c r="A70" s="197">
        <v>54</v>
      </c>
      <c r="B70" s="197">
        <v>11</v>
      </c>
      <c r="C70" s="197" t="s">
        <v>227</v>
      </c>
      <c r="D70" s="185" t="s">
        <v>308</v>
      </c>
      <c r="E70" s="197" t="s">
        <v>250</v>
      </c>
      <c r="F70" s="185">
        <v>1537.63</v>
      </c>
      <c r="G70" s="213">
        <v>44544</v>
      </c>
      <c r="H70" s="214" t="s">
        <v>179</v>
      </c>
      <c r="I70" s="212">
        <v>383000</v>
      </c>
      <c r="J70" s="185" t="s">
        <v>251</v>
      </c>
    </row>
    <row r="71" spans="1:10" x14ac:dyDescent="0.35">
      <c r="A71" s="197">
        <v>69</v>
      </c>
      <c r="B71" s="197">
        <v>33</v>
      </c>
      <c r="C71" s="197" t="s">
        <v>267</v>
      </c>
      <c r="D71" s="185" t="s">
        <v>216</v>
      </c>
      <c r="E71" s="197" t="s">
        <v>252</v>
      </c>
      <c r="F71" s="185">
        <v>704.51</v>
      </c>
      <c r="G71" s="213">
        <v>44742</v>
      </c>
      <c r="H71" s="214" t="s">
        <v>179</v>
      </c>
      <c r="I71" s="212">
        <v>450000</v>
      </c>
      <c r="J71" s="185" t="s">
        <v>251</v>
      </c>
    </row>
    <row r="72" spans="1:10" x14ac:dyDescent="0.35">
      <c r="A72" s="197">
        <v>65</v>
      </c>
      <c r="B72" s="197">
        <v>1</v>
      </c>
      <c r="C72" s="197"/>
      <c r="D72" s="185" t="s">
        <v>222</v>
      </c>
      <c r="E72" s="197" t="s">
        <v>321</v>
      </c>
      <c r="F72" s="185">
        <v>453.65</v>
      </c>
      <c r="G72" s="213">
        <v>44773</v>
      </c>
      <c r="H72" s="211" t="s">
        <v>179</v>
      </c>
      <c r="I72" s="212">
        <v>360000</v>
      </c>
      <c r="J72" s="185" t="s">
        <v>251</v>
      </c>
    </row>
    <row r="73" spans="1:10" x14ac:dyDescent="0.35">
      <c r="A73" s="197">
        <v>67</v>
      </c>
      <c r="B73" s="197">
        <v>1</v>
      </c>
      <c r="C73" s="197"/>
      <c r="D73" s="185" t="s">
        <v>172</v>
      </c>
      <c r="E73" s="197" t="s">
        <v>279</v>
      </c>
      <c r="F73" s="185">
        <v>134.37</v>
      </c>
      <c r="G73" s="213">
        <v>44804</v>
      </c>
      <c r="H73" s="214" t="s">
        <v>179</v>
      </c>
      <c r="I73" s="212">
        <v>390000</v>
      </c>
      <c r="J73" s="185" t="s">
        <v>251</v>
      </c>
    </row>
    <row r="74" spans="1:10" x14ac:dyDescent="0.35">
      <c r="A74" s="197"/>
      <c r="B74" s="197">
        <v>9</v>
      </c>
      <c r="C74" s="197" t="s">
        <v>227</v>
      </c>
      <c r="D74" s="185" t="s">
        <v>181</v>
      </c>
      <c r="E74" s="197" t="s">
        <v>252</v>
      </c>
      <c r="F74" s="185">
        <v>1263.02</v>
      </c>
      <c r="G74" s="213">
        <v>44895</v>
      </c>
      <c r="H74" s="214" t="s">
        <v>179</v>
      </c>
      <c r="I74" s="212">
        <v>390000</v>
      </c>
      <c r="J74" s="185" t="s">
        <v>251</v>
      </c>
    </row>
    <row r="75" spans="1:10" x14ac:dyDescent="0.35">
      <c r="A75" s="197">
        <v>20</v>
      </c>
      <c r="B75" s="197">
        <v>32</v>
      </c>
      <c r="C75" s="197" t="s">
        <v>259</v>
      </c>
      <c r="D75" s="185" t="s">
        <v>272</v>
      </c>
      <c r="E75" s="197" t="s">
        <v>252</v>
      </c>
      <c r="F75" s="185">
        <v>927.73</v>
      </c>
      <c r="G75" s="213">
        <v>45274</v>
      </c>
      <c r="H75" s="214" t="s">
        <v>180</v>
      </c>
      <c r="I75" s="212">
        <v>36</v>
      </c>
      <c r="J75" s="185" t="s">
        <v>251</v>
      </c>
    </row>
    <row r="76" spans="1:10" x14ac:dyDescent="0.35">
      <c r="A76" s="197">
        <v>61</v>
      </c>
      <c r="B76" s="197">
        <v>7</v>
      </c>
      <c r="C76" s="197" t="s">
        <v>267</v>
      </c>
      <c r="D76" s="185" t="s">
        <v>319</v>
      </c>
      <c r="E76" s="197" t="s">
        <v>14</v>
      </c>
      <c r="F76" s="185">
        <v>696.09</v>
      </c>
      <c r="G76" s="185"/>
      <c r="H76" s="211"/>
      <c r="I76" s="212"/>
      <c r="J76" s="185" t="s">
        <v>251</v>
      </c>
    </row>
    <row r="77" spans="1:10" x14ac:dyDescent="0.35">
      <c r="A77" s="195"/>
      <c r="B77" s="195"/>
      <c r="D77" s="195"/>
      <c r="G77" s="207"/>
      <c r="H77" s="208"/>
    </row>
  </sheetData>
  <sortState xmlns:xlrd2="http://schemas.microsoft.com/office/spreadsheetml/2017/richdata2" ref="A6:J76">
    <sortCondition ref="G6:G76"/>
  </sortState>
  <mergeCells count="9">
    <mergeCell ref="G3:G4"/>
    <mergeCell ref="H3:I3"/>
    <mergeCell ref="J3:J4"/>
    <mergeCell ref="A3:A4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  <pageSetUpPr fitToPage="1"/>
  </sheetPr>
  <dimension ref="A1:O34"/>
  <sheetViews>
    <sheetView topLeftCell="A5" workbookViewId="0">
      <selection activeCell="L8" sqref="L8:M9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345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>
        <v>44558</v>
      </c>
    </row>
    <row r="3" spans="1:15" ht="46.5" thickBot="1" x14ac:dyDescent="0.4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344</v>
      </c>
    </row>
    <row r="4" spans="1:15" ht="16.5" thickTop="1" thickBot="1" x14ac:dyDescent="0.4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1.5" thickBot="1" x14ac:dyDescent="0.4">
      <c r="A5" s="135" t="s">
        <v>201</v>
      </c>
      <c r="B5" s="138">
        <v>59844.87</v>
      </c>
      <c r="C5" s="138">
        <f t="shared" ref="C5:O5" si="0">C4-C6</f>
        <v>59844.87</v>
      </c>
      <c r="D5" s="138">
        <f t="shared" si="0"/>
        <v>59844.87</v>
      </c>
      <c r="E5" s="138">
        <f t="shared" si="0"/>
        <v>59698.87</v>
      </c>
      <c r="F5" s="138">
        <f t="shared" si="0"/>
        <v>59698.87</v>
      </c>
      <c r="G5" s="138">
        <f t="shared" si="0"/>
        <v>59536.69</v>
      </c>
      <c r="H5" s="138">
        <f t="shared" si="0"/>
        <v>59229.770000000004</v>
      </c>
      <c r="I5" s="138">
        <f t="shared" si="0"/>
        <v>59229.770000000004</v>
      </c>
      <c r="J5" s="138">
        <f t="shared" si="0"/>
        <v>58978.78</v>
      </c>
      <c r="K5" s="138">
        <f t="shared" si="0"/>
        <v>58323.25</v>
      </c>
      <c r="L5" s="138">
        <f t="shared" si="0"/>
        <v>56990.020000000004</v>
      </c>
      <c r="M5" s="138">
        <f t="shared" si="0"/>
        <v>56990.020000000004</v>
      </c>
      <c r="N5" s="138">
        <f t="shared" si="0"/>
        <v>52997.53</v>
      </c>
      <c r="O5" s="138">
        <f t="shared" si="0"/>
        <v>52997.53</v>
      </c>
    </row>
    <row r="6" spans="1:15" ht="31.5" thickBot="1" x14ac:dyDescent="0.4">
      <c r="A6" s="136" t="s">
        <v>202</v>
      </c>
      <c r="B6" s="139">
        <v>5352.1699999999992</v>
      </c>
      <c r="C6" s="139">
        <f t="shared" ref="C6:O6" si="1">B6+SUM(C9:C11)</f>
        <v>5352.1699999999992</v>
      </c>
      <c r="D6" s="139">
        <f t="shared" si="1"/>
        <v>5352.1699999999992</v>
      </c>
      <c r="E6" s="139">
        <f t="shared" si="1"/>
        <v>5498.1699999999992</v>
      </c>
      <c r="F6" s="139">
        <f t="shared" si="1"/>
        <v>5498.1699999999992</v>
      </c>
      <c r="G6" s="139">
        <f t="shared" si="1"/>
        <v>5660.3499999999995</v>
      </c>
      <c r="H6" s="139">
        <f t="shared" si="1"/>
        <v>5967.2699999999995</v>
      </c>
      <c r="I6" s="139">
        <f t="shared" si="1"/>
        <v>5967.2699999999995</v>
      </c>
      <c r="J6" s="139">
        <f t="shared" si="1"/>
        <v>6218.2599999999993</v>
      </c>
      <c r="K6" s="139">
        <f t="shared" si="1"/>
        <v>6873.7899999999991</v>
      </c>
      <c r="L6" s="139">
        <f t="shared" si="1"/>
        <v>8207.0199999999986</v>
      </c>
      <c r="M6" s="139">
        <f t="shared" si="1"/>
        <v>8207.0199999999986</v>
      </c>
      <c r="N6" s="139">
        <f t="shared" si="1"/>
        <v>12199.509999999998</v>
      </c>
      <c r="O6" s="139">
        <f t="shared" si="1"/>
        <v>12199.509999999998</v>
      </c>
    </row>
    <row r="7" spans="1:15" ht="16" thickBot="1" x14ac:dyDescent="0.4">
      <c r="A7" s="135" t="s">
        <v>203</v>
      </c>
      <c r="B7" s="140">
        <v>0.91790777618124997</v>
      </c>
      <c r="C7" s="140">
        <f t="shared" ref="C7:O7" si="2">C5/C4*100%</f>
        <v>0.91790777618124997</v>
      </c>
      <c r="D7" s="140">
        <f t="shared" si="2"/>
        <v>0.91790777618124997</v>
      </c>
      <c r="E7" s="140">
        <f t="shared" si="2"/>
        <v>0.91566841071312444</v>
      </c>
      <c r="F7" s="140">
        <f t="shared" si="2"/>
        <v>0.91566841071312444</v>
      </c>
      <c r="G7" s="140">
        <f t="shared" si="2"/>
        <v>0.91318087446914775</v>
      </c>
      <c r="H7" s="140">
        <f t="shared" si="2"/>
        <v>0.90847329878779781</v>
      </c>
      <c r="I7" s="140">
        <f t="shared" si="2"/>
        <v>0.90847329878779781</v>
      </c>
      <c r="J7" s="140">
        <f t="shared" si="2"/>
        <v>0.90462358413817556</v>
      </c>
      <c r="K7" s="140">
        <f t="shared" si="2"/>
        <v>0.89456898656748829</v>
      </c>
      <c r="L7" s="140">
        <f t="shared" si="2"/>
        <v>0.87411974531359093</v>
      </c>
      <c r="M7" s="140">
        <f t="shared" si="2"/>
        <v>0.87411974531359093</v>
      </c>
      <c r="N7" s="140">
        <f t="shared" si="2"/>
        <v>0.81288245601334042</v>
      </c>
      <c r="O7" s="140">
        <f t="shared" si="2"/>
        <v>0.81288245601334042</v>
      </c>
    </row>
    <row r="9" spans="1:15" x14ac:dyDescent="0.35">
      <c r="A9" s="743" t="s">
        <v>322</v>
      </c>
      <c r="B9" s="141">
        <v>289.7</v>
      </c>
      <c r="C9" s="141"/>
      <c r="D9" s="141"/>
      <c r="E9" s="141">
        <v>146</v>
      </c>
      <c r="F9" s="141"/>
      <c r="G9" s="141"/>
      <c r="H9" s="141">
        <v>306.92</v>
      </c>
      <c r="I9" s="141"/>
      <c r="J9" s="141">
        <v>250.99</v>
      </c>
      <c r="K9" s="141">
        <v>487.32</v>
      </c>
      <c r="L9" s="246">
        <v>272.02999999999997</v>
      </c>
      <c r="M9" s="141"/>
      <c r="N9" s="141">
        <v>582.25</v>
      </c>
      <c r="O9" s="141"/>
    </row>
    <row r="10" spans="1:15" x14ac:dyDescent="0.35">
      <c r="A10" s="744"/>
      <c r="B10" s="141"/>
      <c r="C10" s="141"/>
      <c r="D10" s="141"/>
      <c r="E10" s="141"/>
      <c r="F10" s="141"/>
      <c r="G10" s="141">
        <v>162.18</v>
      </c>
      <c r="H10" s="141"/>
      <c r="I10" s="141"/>
      <c r="J10" s="141"/>
      <c r="K10" s="141">
        <v>168.21</v>
      </c>
      <c r="L10" s="141">
        <v>923.53</v>
      </c>
      <c r="M10" s="141"/>
      <c r="N10" s="141">
        <v>3410.24</v>
      </c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>
        <v>137.66999999999999</v>
      </c>
      <c r="M11" s="141"/>
      <c r="N11" s="141"/>
      <c r="O11" s="141"/>
    </row>
    <row r="12" spans="1:15" x14ac:dyDescent="0.35">
      <c r="A12" s="739" t="s">
        <v>204</v>
      </c>
      <c r="B12" s="142" t="s">
        <v>348</v>
      </c>
      <c r="C12" s="227"/>
      <c r="D12" s="227"/>
      <c r="E12" s="242"/>
      <c r="F12" s="192"/>
      <c r="G12" s="242"/>
      <c r="H12" s="239" t="s">
        <v>339</v>
      </c>
      <c r="I12" s="227"/>
      <c r="J12" s="242" t="s">
        <v>341</v>
      </c>
      <c r="K12" s="142" t="s">
        <v>375</v>
      </c>
      <c r="L12" s="242" t="s">
        <v>343</v>
      </c>
      <c r="M12" s="227"/>
      <c r="N12" s="242" t="s">
        <v>340</v>
      </c>
      <c r="O12" s="142"/>
    </row>
    <row r="13" spans="1:15" x14ac:dyDescent="0.35">
      <c r="A13" s="740"/>
      <c r="B13" s="142"/>
      <c r="C13" s="227"/>
      <c r="D13" s="227"/>
      <c r="E13" s="227"/>
      <c r="F13" s="241"/>
      <c r="G13" s="142" t="s">
        <v>381</v>
      </c>
      <c r="H13" s="142"/>
      <c r="I13" s="142"/>
      <c r="J13" s="142"/>
      <c r="K13" s="142" t="s">
        <v>382</v>
      </c>
      <c r="L13" s="142" t="s">
        <v>351</v>
      </c>
      <c r="M13" s="227"/>
      <c r="N13" s="192" t="s">
        <v>29</v>
      </c>
      <c r="O13" s="192"/>
    </row>
    <row r="14" spans="1:15" x14ac:dyDescent="0.35">
      <c r="A14" s="741"/>
      <c r="B14" s="142"/>
      <c r="C14" s="227"/>
      <c r="D14" s="227"/>
      <c r="E14" s="227" t="s">
        <v>384</v>
      </c>
      <c r="F14" s="142"/>
      <c r="G14" s="142"/>
      <c r="H14" s="142"/>
      <c r="I14" s="142"/>
      <c r="J14" s="142"/>
      <c r="K14" s="142"/>
      <c r="L14" s="142" t="s">
        <v>327</v>
      </c>
      <c r="M14" s="227"/>
      <c r="N14" s="227"/>
      <c r="O14" s="142"/>
    </row>
    <row r="15" spans="1:15" x14ac:dyDescent="0.35">
      <c r="N15" t="s">
        <v>220</v>
      </c>
      <c r="O15">
        <f>SUM(C9:N11)</f>
        <v>6847.34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344</v>
      </c>
    </row>
    <row r="18" spans="1:15" ht="16.5" thickTop="1" thickBot="1" x14ac:dyDescent="0.4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1.5" thickBot="1" x14ac:dyDescent="0.4">
      <c r="A19" s="135" t="s">
        <v>201</v>
      </c>
      <c r="B19" s="179">
        <v>59844.87</v>
      </c>
      <c r="C19" s="138">
        <f t="shared" ref="C19:O19" si="4">C18-C20</f>
        <v>60134.57</v>
      </c>
      <c r="D19" s="138">
        <f t="shared" si="4"/>
        <v>60134.57</v>
      </c>
      <c r="E19" s="138">
        <f t="shared" si="4"/>
        <v>59988.57</v>
      </c>
      <c r="F19" s="138">
        <f t="shared" si="4"/>
        <v>60126.080000000002</v>
      </c>
      <c r="G19" s="138">
        <f t="shared" si="4"/>
        <v>59963.9</v>
      </c>
      <c r="H19" s="138">
        <f t="shared" si="4"/>
        <v>59656.98</v>
      </c>
      <c r="I19" s="138">
        <f t="shared" si="4"/>
        <v>59656.98</v>
      </c>
      <c r="J19" s="138">
        <f t="shared" si="4"/>
        <v>59405.990000000005</v>
      </c>
      <c r="K19" s="138">
        <f t="shared" si="4"/>
        <v>58750.46</v>
      </c>
      <c r="L19" s="138">
        <f t="shared" si="4"/>
        <v>57417.23</v>
      </c>
      <c r="M19" s="138">
        <f t="shared" si="4"/>
        <v>57417.23</v>
      </c>
      <c r="N19" s="138">
        <f t="shared" si="4"/>
        <v>53424.740000000005</v>
      </c>
      <c r="O19" s="138">
        <f t="shared" si="4"/>
        <v>53424.740000000005</v>
      </c>
    </row>
    <row r="20" spans="1:15" ht="31.5" thickBot="1" x14ac:dyDescent="0.4">
      <c r="A20" s="136" t="s">
        <v>202</v>
      </c>
      <c r="B20" s="139">
        <v>5352.1699999999992</v>
      </c>
      <c r="C20" s="139">
        <f t="shared" ref="C20:O20" si="5">B20+SUM(C9:C11)-SUM(C23:C25)</f>
        <v>5062.4699999999993</v>
      </c>
      <c r="D20" s="139">
        <f t="shared" si="5"/>
        <v>5062.4699999999993</v>
      </c>
      <c r="E20" s="139">
        <f t="shared" si="5"/>
        <v>5208.4699999999993</v>
      </c>
      <c r="F20" s="139">
        <f t="shared" si="5"/>
        <v>5070.9599999999991</v>
      </c>
      <c r="G20" s="139">
        <f t="shared" si="5"/>
        <v>5233.1399999999994</v>
      </c>
      <c r="H20" s="139">
        <f t="shared" si="5"/>
        <v>5540.0599999999995</v>
      </c>
      <c r="I20" s="139">
        <f t="shared" si="5"/>
        <v>5540.0599999999995</v>
      </c>
      <c r="J20" s="139">
        <f t="shared" si="5"/>
        <v>5791.0499999999993</v>
      </c>
      <c r="K20" s="139">
        <f t="shared" si="5"/>
        <v>6446.579999999999</v>
      </c>
      <c r="L20" s="139">
        <f t="shared" si="5"/>
        <v>7779.8099999999995</v>
      </c>
      <c r="M20" s="139">
        <f t="shared" si="5"/>
        <v>7779.8099999999995</v>
      </c>
      <c r="N20" s="139">
        <f t="shared" si="5"/>
        <v>11772.3</v>
      </c>
      <c r="O20" s="139">
        <f t="shared" si="5"/>
        <v>11772.3</v>
      </c>
    </row>
    <row r="21" spans="1:15" ht="19" thickBot="1" x14ac:dyDescent="0.4">
      <c r="A21" s="135" t="s">
        <v>203</v>
      </c>
      <c r="B21" s="140">
        <v>0.91790777618124997</v>
      </c>
      <c r="C21" s="140">
        <f t="shared" ref="C21:O21" si="6">C19/C18*100%</f>
        <v>0.92235122944231818</v>
      </c>
      <c r="D21" s="140">
        <f t="shared" si="6"/>
        <v>0.92235122944231818</v>
      </c>
      <c r="E21" s="140">
        <f t="shared" si="6"/>
        <v>0.92011186397419265</v>
      </c>
      <c r="F21" s="140">
        <f t="shared" si="6"/>
        <v>0.92222100880653479</v>
      </c>
      <c r="G21" s="140">
        <f t="shared" si="6"/>
        <v>0.91973347256255811</v>
      </c>
      <c r="H21" s="140">
        <f t="shared" si="6"/>
        <v>0.91502589688120817</v>
      </c>
      <c r="I21" s="140">
        <f t="shared" si="6"/>
        <v>0.91502589688120817</v>
      </c>
      <c r="J21" s="140">
        <f t="shared" si="6"/>
        <v>0.91117618223158603</v>
      </c>
      <c r="K21" s="140">
        <f t="shared" si="6"/>
        <v>0.90112158466089864</v>
      </c>
      <c r="L21" s="140">
        <f t="shared" si="6"/>
        <v>0.88067234340700129</v>
      </c>
      <c r="M21" s="140">
        <f t="shared" si="6"/>
        <v>0.88067234340700129</v>
      </c>
      <c r="N21" s="194">
        <f t="shared" si="6"/>
        <v>0.81943505410675088</v>
      </c>
      <c r="O21" s="140">
        <f t="shared" si="6"/>
        <v>0.81943505410675088</v>
      </c>
    </row>
    <row r="23" spans="1:15" x14ac:dyDescent="0.35">
      <c r="A23" s="746" t="s">
        <v>323</v>
      </c>
      <c r="B23" s="141"/>
      <c r="C23" s="141">
        <v>289.7</v>
      </c>
      <c r="D23" s="141"/>
      <c r="E23" s="141"/>
      <c r="F23" s="141">
        <v>137.51</v>
      </c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35">
      <c r="A24" s="747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 t="s">
        <v>350</v>
      </c>
      <c r="D26" s="142"/>
      <c r="E26" s="142"/>
      <c r="F26" s="142" t="s">
        <v>380</v>
      </c>
      <c r="G26" s="142"/>
      <c r="H26" s="142"/>
      <c r="I26" s="142"/>
      <c r="J26" s="142" t="s">
        <v>374</v>
      </c>
      <c r="K26" s="199"/>
      <c r="L26" s="198"/>
      <c r="M26" s="198"/>
      <c r="N26" s="142"/>
      <c r="O26" s="142"/>
    </row>
    <row r="27" spans="1:15" x14ac:dyDescent="0.35">
      <c r="A27" s="740"/>
      <c r="B27" s="142"/>
      <c r="C27" s="142"/>
      <c r="D27" s="142"/>
      <c r="E27" s="142"/>
      <c r="F27" s="142"/>
      <c r="G27" s="142"/>
      <c r="H27" s="142"/>
      <c r="I27" s="142"/>
      <c r="K27" s="200"/>
      <c r="L27" s="142"/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427.21</v>
      </c>
    </row>
    <row r="31" spans="1:15" x14ac:dyDescent="0.35">
      <c r="N31" s="237" t="s">
        <v>336</v>
      </c>
      <c r="O31" s="238">
        <f>AVERAGE(B21:N21)</f>
        <v>0.90367737553729444</v>
      </c>
    </row>
    <row r="34" spans="11:11" x14ac:dyDescent="0.35">
      <c r="K34">
        <f>O6-F23-C23</f>
        <v>11772.299999999997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377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/>
    </row>
    <row r="3" spans="1:15" ht="46.5" thickBot="1" x14ac:dyDescent="0.4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376</v>
      </c>
    </row>
    <row r="4" spans="1:15" ht="16.5" thickTop="1" thickBot="1" x14ac:dyDescent="0.4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1.5" thickBot="1" x14ac:dyDescent="0.4">
      <c r="A5" s="135" t="s">
        <v>201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51547.87</v>
      </c>
      <c r="O5" s="138">
        <f t="shared" si="0"/>
        <v>51547.87</v>
      </c>
    </row>
    <row r="6" spans="1:15" ht="31.5" thickBot="1" x14ac:dyDescent="0.4">
      <c r="A6" s="136" t="s">
        <v>202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13649.169999999998</v>
      </c>
      <c r="O6" s="139">
        <f t="shared" si="1"/>
        <v>13649.169999999998</v>
      </c>
    </row>
    <row r="7" spans="1:15" ht="16" thickBot="1" x14ac:dyDescent="0.4">
      <c r="A7" s="135" t="s">
        <v>203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0.7906473974892112</v>
      </c>
      <c r="O7" s="140">
        <f t="shared" si="2"/>
        <v>0.7906473974892112</v>
      </c>
    </row>
    <row r="9" spans="1:15" x14ac:dyDescent="0.35">
      <c r="A9" s="743" t="s">
        <v>322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/>
      <c r="O9" s="141"/>
    </row>
    <row r="10" spans="1:15" x14ac:dyDescent="0.35">
      <c r="A10" s="744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35">
      <c r="A12" s="739" t="s">
        <v>204</v>
      </c>
      <c r="B12" s="142"/>
      <c r="C12" s="227"/>
      <c r="D12" s="192"/>
      <c r="E12" s="227"/>
      <c r="F12" s="227" t="s">
        <v>346</v>
      </c>
      <c r="G12" s="192" t="s">
        <v>356</v>
      </c>
      <c r="H12" s="240"/>
      <c r="I12" s="192" t="s">
        <v>27</v>
      </c>
      <c r="J12" s="142" t="s">
        <v>355</v>
      </c>
      <c r="K12" s="142" t="s">
        <v>353</v>
      </c>
      <c r="L12" s="192"/>
      <c r="M12" s="192" t="s">
        <v>354</v>
      </c>
      <c r="N12" s="227" t="s">
        <v>152</v>
      </c>
      <c r="O12" s="142"/>
    </row>
    <row r="13" spans="1:15" x14ac:dyDescent="0.35">
      <c r="A13" s="740"/>
      <c r="B13" s="142"/>
      <c r="C13" s="227"/>
      <c r="D13" s="227"/>
      <c r="E13" s="227"/>
      <c r="F13" s="142"/>
      <c r="G13" s="192" t="s">
        <v>342</v>
      </c>
      <c r="H13" s="192"/>
      <c r="I13" s="142" t="s">
        <v>216</v>
      </c>
      <c r="J13" s="142"/>
      <c r="K13" s="142"/>
      <c r="L13" s="142"/>
      <c r="M13" s="227"/>
      <c r="N13" s="227"/>
      <c r="O13" s="142"/>
    </row>
    <row r="14" spans="1:15" x14ac:dyDescent="0.35">
      <c r="A14" s="741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35">
      <c r="N15" t="s">
        <v>220</v>
      </c>
      <c r="O15">
        <f>SUM(C9:N11)</f>
        <v>2022.87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376</v>
      </c>
    </row>
    <row r="18" spans="1:15" ht="16.5" thickTop="1" thickBot="1" x14ac:dyDescent="0.4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1.5" thickBot="1" x14ac:dyDescent="0.4">
      <c r="A19" s="135" t="s">
        <v>201</v>
      </c>
      <c r="B19" s="179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54664.3</v>
      </c>
      <c r="M19" s="138">
        <f t="shared" si="4"/>
        <v>54664.3</v>
      </c>
      <c r="N19" s="138">
        <f t="shared" si="4"/>
        <v>54664.3</v>
      </c>
      <c r="O19" s="138">
        <f t="shared" si="4"/>
        <v>54664.3</v>
      </c>
    </row>
    <row r="20" spans="1:15" ht="31.5" thickBot="1" x14ac:dyDescent="0.4">
      <c r="A20" s="136" t="s">
        <v>202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10532.740000000002</v>
      </c>
      <c r="M20" s="139">
        <f t="shared" si="5"/>
        <v>10532.740000000002</v>
      </c>
      <c r="N20" s="139">
        <f t="shared" si="5"/>
        <v>10532.740000000002</v>
      </c>
      <c r="O20" s="139">
        <f t="shared" si="5"/>
        <v>10532.740000000002</v>
      </c>
    </row>
    <row r="21" spans="1:15" ht="19" thickBot="1" x14ac:dyDescent="0.4">
      <c r="A21" s="135" t="s">
        <v>203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0.83844757369352962</v>
      </c>
      <c r="M21" s="140">
        <f t="shared" si="6"/>
        <v>0.83844757369352962</v>
      </c>
      <c r="N21" s="194">
        <f t="shared" si="6"/>
        <v>0.83844757369352962</v>
      </c>
      <c r="O21" s="140">
        <f t="shared" si="6"/>
        <v>0.83844757369352962</v>
      </c>
    </row>
    <row r="23" spans="1:15" x14ac:dyDescent="0.35">
      <c r="A23" s="746" t="s">
        <v>323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>
        <v>1547.71</v>
      </c>
      <c r="M23" s="141"/>
      <c r="N23" s="141"/>
      <c r="O23" s="141"/>
    </row>
    <row r="24" spans="1:15" x14ac:dyDescent="0.35">
      <c r="A24" s="747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/>
      <c r="D26" s="142" t="s">
        <v>378</v>
      </c>
      <c r="E26" s="142"/>
      <c r="F26" s="142"/>
      <c r="G26" s="142"/>
      <c r="H26" s="142"/>
      <c r="I26" s="142"/>
      <c r="J26" s="142"/>
      <c r="K26" s="199"/>
      <c r="L26" s="198" t="s">
        <v>386</v>
      </c>
      <c r="M26" s="198"/>
      <c r="N26" s="142"/>
      <c r="O26" s="142"/>
    </row>
    <row r="27" spans="1:15" x14ac:dyDescent="0.35">
      <c r="A27" s="740"/>
      <c r="B27" s="142"/>
      <c r="C27" s="142"/>
      <c r="D27" s="142"/>
      <c r="E27" s="142"/>
      <c r="F27" s="142"/>
      <c r="G27" s="142"/>
      <c r="H27" s="142"/>
      <c r="I27" s="142"/>
      <c r="K27" s="200"/>
      <c r="L27" s="142"/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3116.4300000000003</v>
      </c>
    </row>
    <row r="31" spans="1:15" x14ac:dyDescent="0.35">
      <c r="N31" s="237" t="s">
        <v>336</v>
      </c>
      <c r="O31" s="238">
        <f>AVERAGE(B21:N21)</f>
        <v>0.83319196699727494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388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/>
    </row>
    <row r="3" spans="1:15" ht="46.5" thickBot="1" x14ac:dyDescent="0.4">
      <c r="A3" s="132"/>
      <c r="B3" s="133">
        <v>2022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387</v>
      </c>
    </row>
    <row r="4" spans="1:15" ht="16.5" thickTop="1" thickBot="1" x14ac:dyDescent="0.4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1.5" thickBot="1" x14ac:dyDescent="0.4">
      <c r="A5" s="135" t="s">
        <v>201</v>
      </c>
      <c r="B5" s="138">
        <v>54664.3</v>
      </c>
      <c r="C5" s="138">
        <f t="shared" ref="C5:O5" si="0">C4-C6</f>
        <v>54664.3</v>
      </c>
      <c r="D5" s="138">
        <f t="shared" si="0"/>
        <v>54664.3</v>
      </c>
      <c r="E5" s="138">
        <f t="shared" si="0"/>
        <v>54664.3</v>
      </c>
      <c r="F5" s="138">
        <f t="shared" si="0"/>
        <v>54664.3</v>
      </c>
      <c r="G5" s="138">
        <f t="shared" si="0"/>
        <v>54664.3</v>
      </c>
      <c r="H5" s="138">
        <f t="shared" si="0"/>
        <v>54664.3</v>
      </c>
      <c r="I5" s="138">
        <f t="shared" si="0"/>
        <v>54664.3</v>
      </c>
      <c r="J5" s="138">
        <f t="shared" si="0"/>
        <v>54664.3</v>
      </c>
      <c r="K5" s="138">
        <f t="shared" si="0"/>
        <v>54664.3</v>
      </c>
      <c r="L5" s="138">
        <f t="shared" si="0"/>
        <v>54664.3</v>
      </c>
      <c r="M5" s="138">
        <f t="shared" si="0"/>
        <v>54664.3</v>
      </c>
      <c r="N5" s="138">
        <f t="shared" si="0"/>
        <v>54664.3</v>
      </c>
      <c r="O5" s="138">
        <f t="shared" si="0"/>
        <v>54664.3</v>
      </c>
    </row>
    <row r="6" spans="1:15" ht="31.5" thickBot="1" x14ac:dyDescent="0.4">
      <c r="A6" s="136" t="s">
        <v>202</v>
      </c>
      <c r="B6" s="139">
        <v>10532.740000000002</v>
      </c>
      <c r="C6" s="139">
        <f t="shared" ref="C6:O6" si="1">B6+SUM(C9:C11)</f>
        <v>10532.740000000002</v>
      </c>
      <c r="D6" s="139">
        <f t="shared" si="1"/>
        <v>10532.740000000002</v>
      </c>
      <c r="E6" s="139">
        <f t="shared" si="1"/>
        <v>10532.740000000002</v>
      </c>
      <c r="F6" s="139">
        <f t="shared" si="1"/>
        <v>10532.740000000002</v>
      </c>
      <c r="G6" s="139">
        <f t="shared" si="1"/>
        <v>10532.740000000002</v>
      </c>
      <c r="H6" s="139">
        <f t="shared" si="1"/>
        <v>10532.740000000002</v>
      </c>
      <c r="I6" s="139">
        <f t="shared" si="1"/>
        <v>10532.740000000002</v>
      </c>
      <c r="J6" s="139">
        <f t="shared" si="1"/>
        <v>10532.740000000002</v>
      </c>
      <c r="K6" s="139">
        <f t="shared" si="1"/>
        <v>10532.740000000002</v>
      </c>
      <c r="L6" s="139">
        <f t="shared" si="1"/>
        <v>10532.740000000002</v>
      </c>
      <c r="M6" s="139">
        <f t="shared" si="1"/>
        <v>10532.740000000002</v>
      </c>
      <c r="N6" s="139">
        <f t="shared" si="1"/>
        <v>10532.740000000002</v>
      </c>
      <c r="O6" s="139">
        <f t="shared" si="1"/>
        <v>10532.740000000002</v>
      </c>
    </row>
    <row r="7" spans="1:15" ht="16" thickBot="1" x14ac:dyDescent="0.4">
      <c r="A7" s="135" t="s">
        <v>203</v>
      </c>
      <c r="B7" s="140">
        <v>0.83844757369352962</v>
      </c>
      <c r="C7" s="140">
        <f t="shared" ref="C7:O7" si="2">C5/C4*100%</f>
        <v>0.83844757369352962</v>
      </c>
      <c r="D7" s="140">
        <f t="shared" si="2"/>
        <v>0.83844757369352962</v>
      </c>
      <c r="E7" s="140">
        <f t="shared" si="2"/>
        <v>0.83844757369352962</v>
      </c>
      <c r="F7" s="140">
        <f t="shared" si="2"/>
        <v>0.83844757369352962</v>
      </c>
      <c r="G7" s="140">
        <f t="shared" si="2"/>
        <v>0.83844757369352962</v>
      </c>
      <c r="H7" s="140">
        <f t="shared" si="2"/>
        <v>0.83844757369352962</v>
      </c>
      <c r="I7" s="140">
        <f t="shared" si="2"/>
        <v>0.83844757369352962</v>
      </c>
      <c r="J7" s="140">
        <f t="shared" si="2"/>
        <v>0.83844757369352962</v>
      </c>
      <c r="K7" s="140">
        <f t="shared" si="2"/>
        <v>0.83844757369352962</v>
      </c>
      <c r="L7" s="140">
        <f t="shared" si="2"/>
        <v>0.83844757369352962</v>
      </c>
      <c r="M7" s="140">
        <f t="shared" si="2"/>
        <v>0.83844757369352962</v>
      </c>
      <c r="N7" s="140">
        <f t="shared" si="2"/>
        <v>0.83844757369352962</v>
      </c>
      <c r="O7" s="140">
        <f t="shared" si="2"/>
        <v>0.83844757369352962</v>
      </c>
    </row>
    <row r="9" spans="1:15" x14ac:dyDescent="0.35">
      <c r="A9" s="743" t="s">
        <v>322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35">
      <c r="A10" s="744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35">
      <c r="A12" s="739" t="s">
        <v>204</v>
      </c>
      <c r="B12" s="142"/>
      <c r="C12" s="227"/>
      <c r="D12" s="192"/>
      <c r="E12" s="227" t="s">
        <v>311</v>
      </c>
      <c r="F12" s="227"/>
      <c r="G12" s="192"/>
      <c r="H12" s="240"/>
      <c r="I12" s="192"/>
      <c r="J12" s="142" t="s">
        <v>151</v>
      </c>
      <c r="K12" s="142" t="s">
        <v>378</v>
      </c>
      <c r="L12" s="192"/>
      <c r="M12" s="192"/>
      <c r="N12" s="227"/>
      <c r="O12" s="142"/>
    </row>
    <row r="13" spans="1:15" x14ac:dyDescent="0.35">
      <c r="A13" s="740"/>
      <c r="B13" s="142"/>
      <c r="C13" s="227"/>
      <c r="D13" s="227"/>
      <c r="E13" s="227"/>
      <c r="F13" s="142"/>
      <c r="G13" s="192"/>
      <c r="H13" s="192"/>
      <c r="I13" s="142"/>
      <c r="J13" s="142"/>
      <c r="K13" s="142"/>
      <c r="L13" s="142"/>
      <c r="M13" s="227"/>
      <c r="N13" s="227"/>
      <c r="O13" s="142"/>
    </row>
    <row r="14" spans="1:15" x14ac:dyDescent="0.35">
      <c r="A14" s="741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35">
      <c r="N15" t="s">
        <v>220</v>
      </c>
      <c r="O15">
        <f>SUM(C9:N11)</f>
        <v>0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2022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387</v>
      </c>
    </row>
    <row r="18" spans="1:15" ht="16.5" thickTop="1" thickBot="1" x14ac:dyDescent="0.4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1.5" thickBot="1" x14ac:dyDescent="0.4">
      <c r="A19" s="135" t="s">
        <v>201</v>
      </c>
      <c r="B19" s="179">
        <v>54664.3</v>
      </c>
      <c r="C19" s="138">
        <f t="shared" ref="C19:O19" si="4">C18-C20</f>
        <v>54664.3</v>
      </c>
      <c r="D19" s="138">
        <f t="shared" si="4"/>
        <v>54664.3</v>
      </c>
      <c r="E19" s="138">
        <f t="shared" si="4"/>
        <v>54664.3</v>
      </c>
      <c r="F19" s="138">
        <f t="shared" si="4"/>
        <v>54664.3</v>
      </c>
      <c r="G19" s="138">
        <f t="shared" si="4"/>
        <v>54664.3</v>
      </c>
      <c r="H19" s="138">
        <f t="shared" si="4"/>
        <v>56212.009999999995</v>
      </c>
      <c r="I19" s="138">
        <f t="shared" si="4"/>
        <v>59315.33</v>
      </c>
      <c r="J19" s="138">
        <f t="shared" si="4"/>
        <v>59315.33</v>
      </c>
      <c r="K19" s="138">
        <f t="shared" si="4"/>
        <v>59873.24</v>
      </c>
      <c r="L19" s="138">
        <f t="shared" si="4"/>
        <v>59873.24</v>
      </c>
      <c r="M19" s="138">
        <f t="shared" si="4"/>
        <v>59873.24</v>
      </c>
      <c r="N19" s="138">
        <f t="shared" si="4"/>
        <v>59873.24</v>
      </c>
      <c r="O19" s="138">
        <f t="shared" si="4"/>
        <v>59873.24</v>
      </c>
    </row>
    <row r="20" spans="1:15" ht="31.5" thickBot="1" x14ac:dyDescent="0.4">
      <c r="A20" s="136" t="s">
        <v>202</v>
      </c>
      <c r="B20" s="139">
        <v>10532.740000000002</v>
      </c>
      <c r="C20" s="139">
        <f t="shared" ref="C20:O20" si="5">B20+SUM(C9:C11)-SUM(C23:C25)</f>
        <v>10532.740000000002</v>
      </c>
      <c r="D20" s="139">
        <f t="shared" si="5"/>
        <v>10532.740000000002</v>
      </c>
      <c r="E20" s="139">
        <f t="shared" si="5"/>
        <v>10532.740000000002</v>
      </c>
      <c r="F20" s="139">
        <f t="shared" si="5"/>
        <v>10532.740000000002</v>
      </c>
      <c r="G20" s="139">
        <f t="shared" si="5"/>
        <v>10532.740000000002</v>
      </c>
      <c r="H20" s="139">
        <f t="shared" si="5"/>
        <v>8985.0300000000025</v>
      </c>
      <c r="I20" s="139">
        <f t="shared" si="5"/>
        <v>5881.7100000000028</v>
      </c>
      <c r="J20" s="139">
        <f t="shared" si="5"/>
        <v>5881.7100000000028</v>
      </c>
      <c r="K20" s="139">
        <f t="shared" si="5"/>
        <v>5323.8000000000029</v>
      </c>
      <c r="L20" s="139">
        <f t="shared" si="5"/>
        <v>5323.8000000000029</v>
      </c>
      <c r="M20" s="139">
        <f t="shared" si="5"/>
        <v>5323.8000000000029</v>
      </c>
      <c r="N20" s="139">
        <f t="shared" si="5"/>
        <v>5323.8000000000029</v>
      </c>
      <c r="O20" s="139">
        <f t="shared" si="5"/>
        <v>5323.8000000000029</v>
      </c>
    </row>
    <row r="21" spans="1:15" ht="19" thickBot="1" x14ac:dyDescent="0.4">
      <c r="A21" s="135" t="s">
        <v>203</v>
      </c>
      <c r="B21" s="140">
        <v>0.83844757369352962</v>
      </c>
      <c r="C21" s="140">
        <f t="shared" ref="C21:O21" si="6">C19/C18*100%</f>
        <v>0.83844757369352962</v>
      </c>
      <c r="D21" s="140">
        <f t="shared" si="6"/>
        <v>0.83844757369352962</v>
      </c>
      <c r="E21" s="140">
        <f t="shared" si="6"/>
        <v>0.83844757369352962</v>
      </c>
      <c r="F21" s="140">
        <f t="shared" si="6"/>
        <v>0.83844757369352962</v>
      </c>
      <c r="G21" s="140">
        <f t="shared" si="6"/>
        <v>0.83844757369352962</v>
      </c>
      <c r="H21" s="140">
        <f t="shared" si="6"/>
        <v>0.86218653484882124</v>
      </c>
      <c r="I21" s="140">
        <f t="shared" si="6"/>
        <v>0.90978562830459786</v>
      </c>
      <c r="J21" s="140">
        <f t="shared" si="6"/>
        <v>0.90978562830459786</v>
      </c>
      <c r="K21" s="140">
        <f t="shared" si="6"/>
        <v>0.91834291863556994</v>
      </c>
      <c r="L21" s="140">
        <f t="shared" si="6"/>
        <v>0.91834291863556994</v>
      </c>
      <c r="M21" s="140">
        <f t="shared" si="6"/>
        <v>0.91834291863556994</v>
      </c>
      <c r="N21" s="194">
        <f t="shared" si="6"/>
        <v>0.91834291863556994</v>
      </c>
      <c r="O21" s="140">
        <f t="shared" si="6"/>
        <v>0.91834291863556994</v>
      </c>
    </row>
    <row r="23" spans="1:15" x14ac:dyDescent="0.35">
      <c r="A23" s="746" t="s">
        <v>323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35">
      <c r="A24" s="747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/>
      <c r="D26" s="142"/>
      <c r="E26" s="142"/>
      <c r="F26" s="142"/>
      <c r="G26" s="142"/>
      <c r="H26" s="142" t="s">
        <v>390</v>
      </c>
      <c r="I26" s="142" t="s">
        <v>391</v>
      </c>
      <c r="J26" s="142"/>
      <c r="K26" s="199" t="s">
        <v>389</v>
      </c>
      <c r="L26" s="198"/>
      <c r="M26" s="198"/>
      <c r="N26" s="142"/>
      <c r="O26" s="142"/>
    </row>
    <row r="27" spans="1:15" x14ac:dyDescent="0.35">
      <c r="A27" s="740"/>
      <c r="B27" s="142"/>
      <c r="C27" s="142"/>
      <c r="D27" s="142"/>
      <c r="E27" s="142"/>
      <c r="F27" s="142"/>
      <c r="G27" s="142"/>
      <c r="H27" s="142"/>
      <c r="I27" s="142" t="s">
        <v>392</v>
      </c>
      <c r="K27" s="200"/>
      <c r="L27" s="142"/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5208.9400000000005</v>
      </c>
    </row>
    <row r="31" spans="1:15" x14ac:dyDescent="0.35">
      <c r="N31" s="237" t="s">
        <v>336</v>
      </c>
      <c r="O31" s="238">
        <f>AVERAGE(B21:N21)</f>
        <v>0.87583191601242127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377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/>
    </row>
    <row r="3" spans="1:15" ht="46.5" thickBot="1" x14ac:dyDescent="0.4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376</v>
      </c>
    </row>
    <row r="4" spans="1:15" ht="16.5" thickTop="1" thickBot="1" x14ac:dyDescent="0.4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1.5" thickBot="1" x14ac:dyDescent="0.4">
      <c r="A5" s="135" t="s">
        <v>201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50284.37</v>
      </c>
      <c r="O5" s="138">
        <f t="shared" si="0"/>
        <v>50284.37</v>
      </c>
    </row>
    <row r="6" spans="1:15" ht="31.5" thickBot="1" x14ac:dyDescent="0.4">
      <c r="A6" s="136" t="s">
        <v>202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14912.669999999998</v>
      </c>
      <c r="O6" s="139">
        <f t="shared" si="1"/>
        <v>14912.669999999998</v>
      </c>
    </row>
    <row r="7" spans="1:15" ht="16" thickBot="1" x14ac:dyDescent="0.4">
      <c r="A7" s="135" t="s">
        <v>203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0.77126768331813844</v>
      </c>
      <c r="O7" s="140">
        <f t="shared" si="2"/>
        <v>0.77126768331813844</v>
      </c>
    </row>
    <row r="9" spans="1:15" x14ac:dyDescent="0.35">
      <c r="A9" s="743" t="s">
        <v>322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>
        <v>1263.5</v>
      </c>
      <c r="O9" s="141"/>
    </row>
    <row r="10" spans="1:15" x14ac:dyDescent="0.35">
      <c r="A10" s="744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35">
      <c r="A12" s="739" t="s">
        <v>204</v>
      </c>
      <c r="B12" s="142"/>
      <c r="C12" s="227"/>
      <c r="D12" s="192"/>
      <c r="E12" s="227"/>
      <c r="F12" s="227" t="s">
        <v>346</v>
      </c>
      <c r="G12" s="192" t="s">
        <v>356</v>
      </c>
      <c r="H12" s="240"/>
      <c r="I12" s="192" t="s">
        <v>27</v>
      </c>
      <c r="J12" s="142" t="s">
        <v>355</v>
      </c>
      <c r="K12" s="142" t="s">
        <v>353</v>
      </c>
      <c r="L12" s="192"/>
      <c r="M12" s="192" t="s">
        <v>354</v>
      </c>
      <c r="N12" s="227" t="s">
        <v>152</v>
      </c>
      <c r="O12" s="142"/>
    </row>
    <row r="13" spans="1:15" x14ac:dyDescent="0.35">
      <c r="A13" s="740"/>
      <c r="B13" s="142"/>
      <c r="C13" s="227"/>
      <c r="D13" s="227"/>
      <c r="E13" s="227"/>
      <c r="F13" s="142"/>
      <c r="G13" s="192" t="s">
        <v>342</v>
      </c>
      <c r="H13" s="192"/>
      <c r="I13" s="142" t="s">
        <v>216</v>
      </c>
      <c r="J13" s="142"/>
      <c r="K13" s="142"/>
      <c r="L13" s="142"/>
      <c r="M13" s="227"/>
      <c r="N13" s="227"/>
      <c r="O13" s="142"/>
    </row>
    <row r="14" spans="1:15" x14ac:dyDescent="0.35">
      <c r="A14" s="741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35">
      <c r="N15" t="s">
        <v>220</v>
      </c>
      <c r="O15">
        <f>SUM(C9:N11)</f>
        <v>3286.37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376</v>
      </c>
    </row>
    <row r="18" spans="1:15" ht="16.5" thickTop="1" thickBot="1" x14ac:dyDescent="0.4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1.5" thickBot="1" x14ac:dyDescent="0.4">
      <c r="A19" s="135" t="s">
        <v>201</v>
      </c>
      <c r="B19" s="179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53116.59</v>
      </c>
      <c r="M19" s="138">
        <f t="shared" si="4"/>
        <v>53116.59</v>
      </c>
      <c r="N19" s="138">
        <f t="shared" si="4"/>
        <v>51853.09</v>
      </c>
      <c r="O19" s="138">
        <f t="shared" si="4"/>
        <v>51853.09</v>
      </c>
    </row>
    <row r="20" spans="1:15" ht="31.5" thickBot="1" x14ac:dyDescent="0.4">
      <c r="A20" s="136" t="s">
        <v>202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12080.45</v>
      </c>
      <c r="M20" s="139">
        <f t="shared" si="5"/>
        <v>12080.45</v>
      </c>
      <c r="N20" s="139">
        <f t="shared" si="5"/>
        <v>13343.95</v>
      </c>
      <c r="O20" s="139">
        <f t="shared" si="5"/>
        <v>13343.95</v>
      </c>
    </row>
    <row r="21" spans="1:15" ht="19" thickBot="1" x14ac:dyDescent="0.4">
      <c r="A21" s="135" t="s">
        <v>203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0.8147086125382379</v>
      </c>
      <c r="M21" s="140">
        <f t="shared" si="6"/>
        <v>0.8147086125382379</v>
      </c>
      <c r="N21" s="194">
        <f t="shared" si="6"/>
        <v>0.79532889836716503</v>
      </c>
      <c r="O21" s="140">
        <f t="shared" si="6"/>
        <v>0.79532889836716503</v>
      </c>
    </row>
    <row r="23" spans="1:15" x14ac:dyDescent="0.35">
      <c r="A23" s="746" t="s">
        <v>323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35">
      <c r="A24" s="747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/>
      <c r="D26" s="142" t="s">
        <v>378</v>
      </c>
      <c r="E26" s="142"/>
      <c r="F26" s="142"/>
      <c r="G26" s="142"/>
      <c r="H26" s="142"/>
      <c r="I26" s="142"/>
      <c r="J26" s="142"/>
      <c r="K26" s="199"/>
      <c r="L26" s="198" t="s">
        <v>386</v>
      </c>
      <c r="M26" s="198"/>
      <c r="N26" s="142"/>
      <c r="O26" s="142"/>
    </row>
    <row r="27" spans="1:15" x14ac:dyDescent="0.35">
      <c r="A27" s="740"/>
      <c r="B27" s="142"/>
      <c r="C27" s="142"/>
      <c r="D27" s="142"/>
      <c r="E27" s="142"/>
      <c r="F27" s="142"/>
      <c r="G27" s="142"/>
      <c r="H27" s="142"/>
      <c r="I27" s="142"/>
      <c r="K27" s="200"/>
      <c r="L27" s="142"/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1568.72</v>
      </c>
    </row>
    <row r="31" spans="1:15" x14ac:dyDescent="0.35">
      <c r="N31" s="237" t="s">
        <v>336</v>
      </c>
      <c r="O31" s="238">
        <f>AVERAGE(B21:N21)</f>
        <v>0.8262229979482788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388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/>
    </row>
    <row r="3" spans="1:15" ht="46.5" thickBot="1" x14ac:dyDescent="0.4">
      <c r="A3" s="132"/>
      <c r="B3" s="133">
        <v>2022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387</v>
      </c>
    </row>
    <row r="4" spans="1:15" ht="16.5" thickTop="1" thickBot="1" x14ac:dyDescent="0.4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1.5" thickBot="1" x14ac:dyDescent="0.4">
      <c r="A5" s="135" t="s">
        <v>201</v>
      </c>
      <c r="B5" s="138">
        <v>51853.09</v>
      </c>
      <c r="C5" s="138">
        <f t="shared" ref="C5:O5" si="0">C4-C6</f>
        <v>51853.09</v>
      </c>
      <c r="D5" s="138">
        <f t="shared" si="0"/>
        <v>51853.09</v>
      </c>
      <c r="E5" s="138">
        <f t="shared" si="0"/>
        <v>51853.09</v>
      </c>
      <c r="F5" s="138">
        <f t="shared" si="0"/>
        <v>51853.09</v>
      </c>
      <c r="G5" s="138">
        <f t="shared" si="0"/>
        <v>51853.09</v>
      </c>
      <c r="H5" s="138">
        <f t="shared" si="0"/>
        <v>51853.09</v>
      </c>
      <c r="I5" s="138">
        <f t="shared" si="0"/>
        <v>51853.09</v>
      </c>
      <c r="J5" s="138">
        <f t="shared" si="0"/>
        <v>51853.09</v>
      </c>
      <c r="K5" s="138">
        <f t="shared" si="0"/>
        <v>51853.09</v>
      </c>
      <c r="L5" s="138">
        <f t="shared" si="0"/>
        <v>51853.09</v>
      </c>
      <c r="M5" s="138">
        <f t="shared" si="0"/>
        <v>51853.09</v>
      </c>
      <c r="N5" s="138">
        <f t="shared" si="0"/>
        <v>51853.09</v>
      </c>
      <c r="O5" s="138">
        <f t="shared" si="0"/>
        <v>51853.09</v>
      </c>
    </row>
    <row r="6" spans="1:15" ht="31.5" thickBot="1" x14ac:dyDescent="0.4">
      <c r="A6" s="136" t="s">
        <v>202</v>
      </c>
      <c r="B6" s="139">
        <v>13343.95</v>
      </c>
      <c r="C6" s="139">
        <f t="shared" ref="C6:O6" si="1">B6+SUM(C9:C11)</f>
        <v>13343.95</v>
      </c>
      <c r="D6" s="139">
        <f t="shared" si="1"/>
        <v>13343.95</v>
      </c>
      <c r="E6" s="139">
        <f t="shared" si="1"/>
        <v>13343.95</v>
      </c>
      <c r="F6" s="139">
        <f t="shared" si="1"/>
        <v>13343.95</v>
      </c>
      <c r="G6" s="139">
        <f t="shared" si="1"/>
        <v>13343.95</v>
      </c>
      <c r="H6" s="139">
        <f t="shared" si="1"/>
        <v>13343.95</v>
      </c>
      <c r="I6" s="139">
        <f t="shared" si="1"/>
        <v>13343.95</v>
      </c>
      <c r="J6" s="139">
        <f t="shared" si="1"/>
        <v>13343.95</v>
      </c>
      <c r="K6" s="139">
        <f t="shared" si="1"/>
        <v>13343.95</v>
      </c>
      <c r="L6" s="139">
        <f t="shared" si="1"/>
        <v>13343.95</v>
      </c>
      <c r="M6" s="139">
        <f t="shared" si="1"/>
        <v>13343.95</v>
      </c>
      <c r="N6" s="139">
        <f t="shared" si="1"/>
        <v>13343.95</v>
      </c>
      <c r="O6" s="139">
        <f t="shared" si="1"/>
        <v>13343.95</v>
      </c>
    </row>
    <row r="7" spans="1:15" ht="16" thickBot="1" x14ac:dyDescent="0.4">
      <c r="A7" s="135" t="s">
        <v>203</v>
      </c>
      <c r="B7" s="140">
        <v>0.79532889836716503</v>
      </c>
      <c r="C7" s="140">
        <f t="shared" ref="C7:O7" si="2">C5/C4*100%</f>
        <v>0.79532889836716503</v>
      </c>
      <c r="D7" s="140">
        <f t="shared" si="2"/>
        <v>0.79532889836716503</v>
      </c>
      <c r="E7" s="140">
        <f t="shared" si="2"/>
        <v>0.79532889836716503</v>
      </c>
      <c r="F7" s="140">
        <f t="shared" si="2"/>
        <v>0.79532889836716503</v>
      </c>
      <c r="G7" s="140">
        <f t="shared" si="2"/>
        <v>0.79532889836716503</v>
      </c>
      <c r="H7" s="140">
        <f t="shared" si="2"/>
        <v>0.79532889836716503</v>
      </c>
      <c r="I7" s="140">
        <f t="shared" si="2"/>
        <v>0.79532889836716503</v>
      </c>
      <c r="J7" s="140">
        <f t="shared" si="2"/>
        <v>0.79532889836716503</v>
      </c>
      <c r="K7" s="140">
        <f t="shared" si="2"/>
        <v>0.79532889836716503</v>
      </c>
      <c r="L7" s="140">
        <f t="shared" si="2"/>
        <v>0.79532889836716503</v>
      </c>
      <c r="M7" s="140">
        <f t="shared" si="2"/>
        <v>0.79532889836716503</v>
      </c>
      <c r="N7" s="140">
        <f t="shared" si="2"/>
        <v>0.79532889836716503</v>
      </c>
      <c r="O7" s="140">
        <f t="shared" si="2"/>
        <v>0.79532889836716503</v>
      </c>
    </row>
    <row r="9" spans="1:15" x14ac:dyDescent="0.35">
      <c r="A9" s="743" t="s">
        <v>322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35">
      <c r="A10" s="744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35">
      <c r="A12" s="739" t="s">
        <v>204</v>
      </c>
      <c r="B12" s="142"/>
      <c r="C12" s="227"/>
      <c r="D12" s="192"/>
      <c r="E12" s="227" t="s">
        <v>311</v>
      </c>
      <c r="F12" s="227"/>
      <c r="G12" s="192"/>
      <c r="H12" s="240"/>
      <c r="I12" s="192"/>
      <c r="J12" s="142" t="s">
        <v>151</v>
      </c>
      <c r="K12" s="142" t="s">
        <v>378</v>
      </c>
      <c r="L12" s="192"/>
      <c r="M12" s="192"/>
      <c r="N12" s="227"/>
      <c r="O12" s="142"/>
    </row>
    <row r="13" spans="1:15" x14ac:dyDescent="0.35">
      <c r="A13" s="740"/>
      <c r="B13" s="142"/>
      <c r="C13" s="227"/>
      <c r="D13" s="227"/>
      <c r="E13" s="227"/>
      <c r="F13" s="142"/>
      <c r="G13" s="192"/>
      <c r="H13" s="192"/>
      <c r="I13" s="142"/>
      <c r="J13" s="142"/>
      <c r="K13" s="142"/>
      <c r="L13" s="142"/>
      <c r="M13" s="227"/>
      <c r="N13" s="227"/>
      <c r="O13" s="142"/>
    </row>
    <row r="14" spans="1:15" x14ac:dyDescent="0.35">
      <c r="A14" s="741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35">
      <c r="N15" t="s">
        <v>220</v>
      </c>
      <c r="O15">
        <f>SUM(C9:N11)</f>
        <v>0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2022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387</v>
      </c>
    </row>
    <row r="18" spans="1:15" ht="16.5" thickTop="1" thickBot="1" x14ac:dyDescent="0.4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1.5" thickBot="1" x14ac:dyDescent="0.4">
      <c r="A19" s="135" t="s">
        <v>201</v>
      </c>
      <c r="B19" s="179">
        <v>51853.09</v>
      </c>
      <c r="C19" s="138">
        <f t="shared" ref="C19:O19" si="4">C18-C20</f>
        <v>51853.09</v>
      </c>
      <c r="D19" s="138">
        <f t="shared" si="4"/>
        <v>51853.09</v>
      </c>
      <c r="E19" s="138">
        <f t="shared" si="4"/>
        <v>51853.09</v>
      </c>
      <c r="F19" s="138">
        <f t="shared" si="4"/>
        <v>51853.09</v>
      </c>
      <c r="G19" s="138">
        <f t="shared" si="4"/>
        <v>51853.09</v>
      </c>
      <c r="H19" s="138">
        <f t="shared" si="4"/>
        <v>53400.800000000003</v>
      </c>
      <c r="I19" s="138">
        <f t="shared" si="4"/>
        <v>56504.119999999995</v>
      </c>
      <c r="J19" s="138">
        <f t="shared" si="4"/>
        <v>56504.119999999995</v>
      </c>
      <c r="K19" s="138">
        <f t="shared" si="4"/>
        <v>57062.03</v>
      </c>
      <c r="L19" s="138">
        <f t="shared" si="4"/>
        <v>57062.03</v>
      </c>
      <c r="M19" s="138">
        <f t="shared" si="4"/>
        <v>57062.03</v>
      </c>
      <c r="N19" s="138">
        <f t="shared" si="4"/>
        <v>57062.03</v>
      </c>
      <c r="O19" s="138">
        <f t="shared" si="4"/>
        <v>57062.03</v>
      </c>
    </row>
    <row r="20" spans="1:15" ht="31.5" thickBot="1" x14ac:dyDescent="0.4">
      <c r="A20" s="136" t="s">
        <v>202</v>
      </c>
      <c r="B20" s="139">
        <v>13343.95</v>
      </c>
      <c r="C20" s="139">
        <f t="shared" ref="C20:O20" si="5">B20+SUM(C9:C11)-SUM(C23:C25)</f>
        <v>13343.95</v>
      </c>
      <c r="D20" s="139">
        <f t="shared" si="5"/>
        <v>13343.95</v>
      </c>
      <c r="E20" s="139">
        <f t="shared" si="5"/>
        <v>13343.95</v>
      </c>
      <c r="F20" s="139">
        <f t="shared" si="5"/>
        <v>13343.95</v>
      </c>
      <c r="G20" s="139">
        <f t="shared" si="5"/>
        <v>13343.95</v>
      </c>
      <c r="H20" s="139">
        <f t="shared" si="5"/>
        <v>11796.240000000002</v>
      </c>
      <c r="I20" s="139">
        <f t="shared" si="5"/>
        <v>8692.9200000000019</v>
      </c>
      <c r="J20" s="139">
        <f t="shared" si="5"/>
        <v>8692.9200000000019</v>
      </c>
      <c r="K20" s="139">
        <f t="shared" si="5"/>
        <v>8135.010000000002</v>
      </c>
      <c r="L20" s="139">
        <f t="shared" si="5"/>
        <v>8135.010000000002</v>
      </c>
      <c r="M20" s="139">
        <f t="shared" si="5"/>
        <v>8135.010000000002</v>
      </c>
      <c r="N20" s="139">
        <f t="shared" si="5"/>
        <v>8135.010000000002</v>
      </c>
      <c r="O20" s="139">
        <f t="shared" si="5"/>
        <v>8135.010000000002</v>
      </c>
    </row>
    <row r="21" spans="1:15" ht="19" thickBot="1" x14ac:dyDescent="0.4">
      <c r="A21" s="135" t="s">
        <v>203</v>
      </c>
      <c r="B21" s="140">
        <v>0.79532889836716503</v>
      </c>
      <c r="C21" s="140">
        <f t="shared" ref="C21:O21" si="6">C19/C18*100%</f>
        <v>0.79532889836716503</v>
      </c>
      <c r="D21" s="140">
        <f t="shared" si="6"/>
        <v>0.79532889836716503</v>
      </c>
      <c r="E21" s="140">
        <f t="shared" si="6"/>
        <v>0.79532889836716503</v>
      </c>
      <c r="F21" s="140">
        <f t="shared" si="6"/>
        <v>0.79532889836716503</v>
      </c>
      <c r="G21" s="140">
        <f t="shared" si="6"/>
        <v>0.79532889836716503</v>
      </c>
      <c r="H21" s="140">
        <f t="shared" si="6"/>
        <v>0.81906785952245686</v>
      </c>
      <c r="I21" s="140">
        <f t="shared" si="6"/>
        <v>0.86666695297823326</v>
      </c>
      <c r="J21" s="140">
        <f t="shared" si="6"/>
        <v>0.86666695297823326</v>
      </c>
      <c r="K21" s="140">
        <f t="shared" si="6"/>
        <v>0.87522424330920545</v>
      </c>
      <c r="L21" s="140">
        <f t="shared" si="6"/>
        <v>0.87522424330920545</v>
      </c>
      <c r="M21" s="140">
        <f t="shared" si="6"/>
        <v>0.87522424330920545</v>
      </c>
      <c r="N21" s="194">
        <f t="shared" si="6"/>
        <v>0.87522424330920545</v>
      </c>
      <c r="O21" s="140">
        <f t="shared" si="6"/>
        <v>0.87522424330920545</v>
      </c>
    </row>
    <row r="23" spans="1:15" x14ac:dyDescent="0.35">
      <c r="A23" s="746" t="s">
        <v>323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35">
      <c r="A24" s="747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/>
      <c r="D26" s="142"/>
      <c r="E26" s="142"/>
      <c r="F26" s="142"/>
      <c r="G26" s="142"/>
      <c r="H26" s="142" t="s">
        <v>390</v>
      </c>
      <c r="I26" s="142" t="s">
        <v>391</v>
      </c>
      <c r="J26" s="142"/>
      <c r="K26" s="199" t="s">
        <v>389</v>
      </c>
      <c r="L26" s="198"/>
      <c r="M26" s="198"/>
      <c r="N26" s="142"/>
      <c r="O26" s="142"/>
    </row>
    <row r="27" spans="1:15" x14ac:dyDescent="0.35">
      <c r="A27" s="740"/>
      <c r="B27" s="142"/>
      <c r="C27" s="142"/>
      <c r="D27" s="142"/>
      <c r="E27" s="142"/>
      <c r="F27" s="142"/>
      <c r="G27" s="142"/>
      <c r="H27" s="142"/>
      <c r="I27" s="142" t="s">
        <v>392</v>
      </c>
      <c r="K27" s="200"/>
      <c r="L27" s="142"/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5208.9400000000005</v>
      </c>
    </row>
    <row r="31" spans="1:15" x14ac:dyDescent="0.35">
      <c r="N31" s="237" t="s">
        <v>336</v>
      </c>
      <c r="O31" s="238">
        <f>AVERAGE(B21:N21)</f>
        <v>0.83271324068605657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36"/>
  <sheetViews>
    <sheetView topLeftCell="B1" workbookViewId="0">
      <pane ySplit="8" topLeftCell="A24" activePane="bottomLeft" state="frozen"/>
      <selection activeCell="B1" sqref="B1"/>
      <selection pane="bottomLeft" activeCell="E9" sqref="E9"/>
    </sheetView>
  </sheetViews>
  <sheetFormatPr defaultColWidth="9.1796875" defaultRowHeight="14.5" x14ac:dyDescent="0.35"/>
  <cols>
    <col min="1" max="1" width="4.453125" style="274" hidden="1" customWidth="1"/>
    <col min="2" max="2" width="25.453125" style="274" customWidth="1"/>
    <col min="3" max="3" width="15.81640625" style="274" customWidth="1"/>
    <col min="4" max="4" width="36" style="274" customWidth="1"/>
    <col min="5" max="5" width="20" style="274" customWidth="1"/>
    <col min="6" max="6" width="11.6328125" style="274" customWidth="1"/>
    <col min="7" max="7" width="14.1796875" style="274" customWidth="1"/>
    <col min="8" max="8" width="42.453125" style="276" bestFit="1" customWidth="1"/>
    <col min="9" max="9" width="12.1796875" style="274" customWidth="1"/>
    <col min="10" max="10" width="43" style="275" customWidth="1"/>
    <col min="11" max="16384" width="9.1796875" style="274"/>
  </cols>
  <sheetData>
    <row r="1" spans="1:10" x14ac:dyDescent="0.35">
      <c r="J1" s="411"/>
    </row>
    <row r="2" spans="1:10" x14ac:dyDescent="0.35">
      <c r="J2" s="411"/>
    </row>
    <row r="3" spans="1:10" ht="23.5" x14ac:dyDescent="0.55000000000000004">
      <c r="A3" s="753" t="s">
        <v>517</v>
      </c>
      <c r="B3" s="753"/>
      <c r="C3" s="753"/>
      <c r="D3" s="753"/>
      <c r="E3" s="753"/>
      <c r="F3" s="753"/>
      <c r="G3" s="753"/>
      <c r="H3" s="753"/>
      <c r="J3" s="411"/>
    </row>
    <row r="4" spans="1:10" ht="23.5" x14ac:dyDescent="0.55000000000000004">
      <c r="A4" s="754" t="s">
        <v>516</v>
      </c>
      <c r="B4" s="754"/>
      <c r="C4" s="754"/>
      <c r="D4" s="754"/>
      <c r="E4" s="754"/>
      <c r="F4" s="754"/>
      <c r="G4" s="754"/>
      <c r="H4" s="754"/>
      <c r="J4" s="411"/>
    </row>
    <row r="5" spans="1:10" ht="23.5" x14ac:dyDescent="0.55000000000000004">
      <c r="A5" s="412"/>
      <c r="B5" s="412"/>
      <c r="C5" s="412"/>
      <c r="D5" s="412"/>
      <c r="E5" s="412"/>
      <c r="F5" s="412"/>
      <c r="G5" s="412"/>
      <c r="H5" s="412"/>
      <c r="J5" s="411"/>
    </row>
    <row r="6" spans="1:10" ht="15" thickBot="1" x14ac:dyDescent="0.4">
      <c r="J6" s="411"/>
    </row>
    <row r="7" spans="1:10" ht="15" thickTop="1" x14ac:dyDescent="0.35">
      <c r="A7" s="360" t="s">
        <v>207</v>
      </c>
      <c r="B7" s="410" t="s">
        <v>515</v>
      </c>
      <c r="C7" s="350" t="s">
        <v>430</v>
      </c>
      <c r="D7" s="350" t="s">
        <v>429</v>
      </c>
      <c r="E7" s="350" t="s">
        <v>428</v>
      </c>
      <c r="F7" s="358" t="s">
        <v>427</v>
      </c>
      <c r="G7" s="358" t="s">
        <v>426</v>
      </c>
      <c r="H7" s="409" t="s">
        <v>514</v>
      </c>
      <c r="I7" s="408" t="s">
        <v>49</v>
      </c>
      <c r="J7" s="407" t="s">
        <v>513</v>
      </c>
    </row>
    <row r="8" spans="1:10" ht="15" thickBot="1" x14ac:dyDescent="0.4">
      <c r="A8" s="288"/>
      <c r="B8" s="287"/>
      <c r="C8" s="286"/>
      <c r="D8" s="286"/>
      <c r="E8" s="286"/>
      <c r="F8" s="356"/>
      <c r="G8" s="356"/>
      <c r="H8" s="355"/>
      <c r="I8" s="290"/>
      <c r="J8" s="399"/>
    </row>
    <row r="9" spans="1:10" ht="15" thickTop="1" x14ac:dyDescent="0.35">
      <c r="A9" s="354">
        <v>1</v>
      </c>
      <c r="B9" s="388"/>
      <c r="C9" s="351" t="s">
        <v>148</v>
      </c>
      <c r="D9" s="387" t="s">
        <v>492</v>
      </c>
      <c r="E9" s="386">
        <v>20.62</v>
      </c>
      <c r="F9" s="358"/>
      <c r="G9" s="358"/>
      <c r="H9" s="385" t="s">
        <v>435</v>
      </c>
      <c r="I9" s="290"/>
      <c r="J9" s="289" t="s">
        <v>512</v>
      </c>
    </row>
    <row r="10" spans="1:10" x14ac:dyDescent="0.35">
      <c r="A10" s="296"/>
      <c r="B10" s="295"/>
      <c r="C10" s="294"/>
      <c r="D10" s="371" t="s">
        <v>490</v>
      </c>
      <c r="E10" s="370">
        <v>20.62</v>
      </c>
      <c r="F10" s="292"/>
      <c r="G10" s="292"/>
      <c r="H10" s="369" t="s">
        <v>511</v>
      </c>
      <c r="I10" s="290"/>
      <c r="J10" s="289" t="s">
        <v>510</v>
      </c>
    </row>
    <row r="11" spans="1:10" x14ac:dyDescent="0.35">
      <c r="A11" s="296"/>
      <c r="B11" s="295"/>
      <c r="C11" s="294"/>
      <c r="D11" s="371" t="s">
        <v>487</v>
      </c>
      <c r="E11" s="370">
        <v>7.26</v>
      </c>
      <c r="F11" s="292"/>
      <c r="G11" s="292"/>
      <c r="H11" s="369" t="s">
        <v>509</v>
      </c>
      <c r="I11" s="290"/>
      <c r="J11" s="289" t="s">
        <v>508</v>
      </c>
    </row>
    <row r="12" spans="1:10" x14ac:dyDescent="0.35">
      <c r="A12" s="296"/>
      <c r="B12" s="295"/>
      <c r="C12" s="294"/>
      <c r="D12" s="371" t="s">
        <v>432</v>
      </c>
      <c r="E12" s="370">
        <v>19.47</v>
      </c>
      <c r="F12" s="292"/>
      <c r="G12" s="292"/>
      <c r="H12" s="369" t="s">
        <v>507</v>
      </c>
      <c r="I12" s="290"/>
      <c r="J12" s="289" t="s">
        <v>506</v>
      </c>
    </row>
    <row r="13" spans="1:10" x14ac:dyDescent="0.35">
      <c r="A13" s="296"/>
      <c r="B13" s="295"/>
      <c r="C13" s="294"/>
      <c r="D13" s="371" t="s">
        <v>433</v>
      </c>
      <c r="E13" s="370">
        <v>22.28</v>
      </c>
      <c r="F13" s="292"/>
      <c r="G13" s="292"/>
      <c r="H13" s="369" t="s">
        <v>505</v>
      </c>
      <c r="I13" s="290"/>
      <c r="J13" s="289" t="s">
        <v>504</v>
      </c>
    </row>
    <row r="14" spans="1:10" x14ac:dyDescent="0.35">
      <c r="A14" s="296"/>
      <c r="B14" s="295"/>
      <c r="C14" s="294"/>
      <c r="D14" s="371" t="s">
        <v>405</v>
      </c>
      <c r="E14" s="370">
        <v>22.27</v>
      </c>
      <c r="F14" s="292"/>
      <c r="G14" s="292"/>
      <c r="H14" s="369" t="s">
        <v>435</v>
      </c>
      <c r="I14" s="290"/>
      <c r="J14" s="289" t="s">
        <v>503</v>
      </c>
    </row>
    <row r="15" spans="1:10" x14ac:dyDescent="0.35">
      <c r="A15" s="296"/>
      <c r="B15" s="295"/>
      <c r="C15" s="294"/>
      <c r="D15" s="371" t="s">
        <v>406</v>
      </c>
      <c r="E15" s="370">
        <v>26.56</v>
      </c>
      <c r="F15" s="292"/>
      <c r="G15" s="292"/>
      <c r="H15" s="369" t="s">
        <v>502</v>
      </c>
      <c r="I15" s="290"/>
      <c r="J15" s="289"/>
    </row>
    <row r="16" spans="1:10" ht="15" thickBot="1" x14ac:dyDescent="0.4">
      <c r="A16" s="296"/>
      <c r="B16" s="295"/>
      <c r="C16" s="294"/>
      <c r="D16" s="406" t="s">
        <v>403</v>
      </c>
      <c r="E16" s="343">
        <v>139.07999999999998</v>
      </c>
      <c r="F16" s="342"/>
      <c r="G16" s="342"/>
      <c r="H16" s="320"/>
      <c r="I16" s="290"/>
      <c r="J16" s="399"/>
    </row>
    <row r="17" spans="1:10" ht="15" thickTop="1" x14ac:dyDescent="0.35">
      <c r="A17" s="303">
        <v>2</v>
      </c>
      <c r="B17" s="302"/>
      <c r="C17" s="300" t="s">
        <v>146</v>
      </c>
      <c r="D17" s="387" t="s">
        <v>492</v>
      </c>
      <c r="E17" s="373">
        <v>20.62</v>
      </c>
      <c r="F17" s="298"/>
      <c r="G17" s="298"/>
      <c r="H17" s="372" t="s">
        <v>501</v>
      </c>
      <c r="I17" s="290"/>
      <c r="J17" s="289" t="s">
        <v>500</v>
      </c>
    </row>
    <row r="18" spans="1:10" x14ac:dyDescent="0.35">
      <c r="A18" s="296"/>
      <c r="B18" s="295"/>
      <c r="C18" s="294"/>
      <c r="D18" s="371" t="s">
        <v>490</v>
      </c>
      <c r="E18" s="370">
        <v>20.62</v>
      </c>
      <c r="F18" s="292"/>
      <c r="G18" s="292"/>
      <c r="H18" s="369" t="s">
        <v>499</v>
      </c>
      <c r="I18" s="290"/>
      <c r="J18" s="289" t="s">
        <v>482</v>
      </c>
    </row>
    <row r="19" spans="1:10" x14ac:dyDescent="0.35">
      <c r="A19" s="296"/>
      <c r="B19" s="295"/>
      <c r="C19" s="294"/>
      <c r="D19" s="371" t="s">
        <v>487</v>
      </c>
      <c r="E19" s="370">
        <v>7.26</v>
      </c>
      <c r="F19" s="292"/>
      <c r="G19" s="292"/>
      <c r="H19" s="369" t="s">
        <v>494</v>
      </c>
      <c r="I19" s="290"/>
      <c r="J19" s="289" t="s">
        <v>498</v>
      </c>
    </row>
    <row r="20" spans="1:10" x14ac:dyDescent="0.35">
      <c r="A20" s="296"/>
      <c r="B20" s="295"/>
      <c r="C20" s="294"/>
      <c r="D20" s="371" t="s">
        <v>432</v>
      </c>
      <c r="E20" s="370">
        <v>11.11</v>
      </c>
      <c r="F20" s="292"/>
      <c r="G20" s="292"/>
      <c r="H20" s="369" t="s">
        <v>497</v>
      </c>
      <c r="I20" s="290"/>
      <c r="J20" s="289" t="s">
        <v>496</v>
      </c>
    </row>
    <row r="21" spans="1:10" x14ac:dyDescent="0.35">
      <c r="A21" s="296"/>
      <c r="B21" s="295"/>
      <c r="C21" s="294"/>
      <c r="D21" s="395" t="s">
        <v>433</v>
      </c>
      <c r="E21" s="378">
        <v>22.28</v>
      </c>
      <c r="F21" s="292"/>
      <c r="G21" s="292"/>
      <c r="H21" s="394" t="s">
        <v>494</v>
      </c>
      <c r="I21" s="290"/>
      <c r="J21" s="289" t="s">
        <v>495</v>
      </c>
    </row>
    <row r="22" spans="1:10" x14ac:dyDescent="0.35">
      <c r="A22" s="296"/>
      <c r="B22" s="295"/>
      <c r="C22" s="294"/>
      <c r="D22" s="395" t="s">
        <v>405</v>
      </c>
      <c r="E22" s="378">
        <v>22.27</v>
      </c>
      <c r="F22" s="292"/>
      <c r="G22" s="292"/>
      <c r="H22" s="394" t="s">
        <v>494</v>
      </c>
      <c r="I22" s="290"/>
      <c r="J22" s="289" t="s">
        <v>493</v>
      </c>
    </row>
    <row r="23" spans="1:10" x14ac:dyDescent="0.35">
      <c r="A23" s="296"/>
      <c r="B23" s="295"/>
      <c r="C23" s="294"/>
      <c r="D23" s="371" t="s">
        <v>406</v>
      </c>
      <c r="E23" s="370">
        <v>26.56</v>
      </c>
      <c r="F23" s="292"/>
      <c r="G23" s="292"/>
      <c r="H23" s="369" t="s">
        <v>324</v>
      </c>
      <c r="I23" s="290"/>
      <c r="J23" s="289"/>
    </row>
    <row r="24" spans="1:10" ht="15" thickBot="1" x14ac:dyDescent="0.4">
      <c r="A24" s="309"/>
      <c r="B24" s="308"/>
      <c r="C24" s="307"/>
      <c r="D24" s="306" t="s">
        <v>403</v>
      </c>
      <c r="E24" s="306">
        <v>130.72</v>
      </c>
      <c r="F24" s="305"/>
      <c r="G24" s="305"/>
      <c r="H24" s="304"/>
      <c r="I24" s="290"/>
      <c r="J24" s="399"/>
    </row>
    <row r="25" spans="1:10" ht="15" thickTop="1" x14ac:dyDescent="0.35">
      <c r="A25" s="303">
        <v>3</v>
      </c>
      <c r="B25" s="302"/>
      <c r="C25" s="300" t="s">
        <v>144</v>
      </c>
      <c r="D25" s="352" t="s">
        <v>492</v>
      </c>
      <c r="E25" s="381">
        <v>20.62</v>
      </c>
      <c r="F25" s="298"/>
      <c r="G25" s="298"/>
      <c r="H25" s="380" t="s">
        <v>489</v>
      </c>
      <c r="I25" s="290"/>
      <c r="J25" s="289" t="s">
        <v>491</v>
      </c>
    </row>
    <row r="26" spans="1:10" x14ac:dyDescent="0.35">
      <c r="A26" s="296"/>
      <c r="B26" s="295"/>
      <c r="C26" s="294"/>
      <c r="D26" s="395" t="s">
        <v>490</v>
      </c>
      <c r="E26" s="378">
        <v>20.62</v>
      </c>
      <c r="F26" s="292"/>
      <c r="G26" s="292"/>
      <c r="H26" s="394" t="s">
        <v>489</v>
      </c>
      <c r="I26" s="290"/>
      <c r="J26" s="289" t="s">
        <v>488</v>
      </c>
    </row>
    <row r="27" spans="1:10" x14ac:dyDescent="0.35">
      <c r="A27" s="296"/>
      <c r="B27" s="295"/>
      <c r="C27" s="294"/>
      <c r="D27" s="294" t="s">
        <v>487</v>
      </c>
      <c r="E27" s="293">
        <v>7.26</v>
      </c>
      <c r="F27" s="292"/>
      <c r="G27" s="292"/>
      <c r="H27" s="344"/>
      <c r="I27" s="290"/>
      <c r="J27" s="289" t="s">
        <v>486</v>
      </c>
    </row>
    <row r="28" spans="1:10" x14ac:dyDescent="0.35">
      <c r="A28" s="296"/>
      <c r="B28" s="295"/>
      <c r="C28" s="294"/>
      <c r="D28" s="294" t="s">
        <v>432</v>
      </c>
      <c r="E28" s="293">
        <v>11.11</v>
      </c>
      <c r="F28" s="292"/>
      <c r="G28" s="292"/>
      <c r="H28" s="369" t="s">
        <v>485</v>
      </c>
      <c r="I28" s="290"/>
      <c r="J28" s="289" t="s">
        <v>484</v>
      </c>
    </row>
    <row r="29" spans="1:10" x14ac:dyDescent="0.35">
      <c r="A29" s="296"/>
      <c r="B29" s="295"/>
      <c r="C29" s="294"/>
      <c r="D29" s="395" t="s">
        <v>433</v>
      </c>
      <c r="E29" s="405">
        <v>23.57</v>
      </c>
      <c r="F29" s="377">
        <v>125000</v>
      </c>
      <c r="G29" s="405"/>
      <c r="H29" s="394" t="s">
        <v>483</v>
      </c>
      <c r="I29" s="290"/>
      <c r="J29" s="289" t="s">
        <v>482</v>
      </c>
    </row>
    <row r="30" spans="1:10" x14ac:dyDescent="0.35">
      <c r="A30" s="296"/>
      <c r="B30" s="295"/>
      <c r="C30" s="294"/>
      <c r="D30" s="395" t="s">
        <v>405</v>
      </c>
      <c r="E30" s="405">
        <v>20.62</v>
      </c>
      <c r="F30" s="377">
        <v>130000</v>
      </c>
      <c r="G30" s="405"/>
      <c r="H30" s="394" t="s">
        <v>329</v>
      </c>
      <c r="I30" s="290"/>
      <c r="J30" s="289"/>
    </row>
    <row r="31" spans="1:10" x14ac:dyDescent="0.35">
      <c r="A31" s="296"/>
      <c r="B31" s="295"/>
      <c r="C31" s="294"/>
      <c r="D31" s="294" t="s">
        <v>406</v>
      </c>
      <c r="E31" s="293">
        <v>26.56</v>
      </c>
      <c r="F31" s="292"/>
      <c r="G31" s="292"/>
      <c r="H31" s="369" t="s">
        <v>481</v>
      </c>
      <c r="I31" s="290"/>
      <c r="J31" s="289"/>
    </row>
    <row r="32" spans="1:10" x14ac:dyDescent="0.35">
      <c r="A32" s="309"/>
      <c r="B32" s="308"/>
      <c r="C32" s="307"/>
      <c r="D32" s="306" t="s">
        <v>403</v>
      </c>
      <c r="E32" s="306">
        <v>130.72</v>
      </c>
      <c r="F32" s="305"/>
      <c r="G32" s="305"/>
      <c r="H32" s="304"/>
      <c r="I32" s="290"/>
      <c r="J32" s="399"/>
    </row>
    <row r="33" spans="1:10" x14ac:dyDescent="0.35">
      <c r="A33" s="303">
        <v>4</v>
      </c>
      <c r="B33" s="302"/>
      <c r="C33" s="300" t="s">
        <v>141</v>
      </c>
      <c r="D33" s="374" t="s">
        <v>480</v>
      </c>
      <c r="E33" s="373">
        <v>72.400000000000006</v>
      </c>
      <c r="F33" s="298"/>
      <c r="G33" s="298"/>
      <c r="H33" s="372" t="s">
        <v>479</v>
      </c>
      <c r="I33" s="290"/>
      <c r="J33" s="289" t="s">
        <v>478</v>
      </c>
    </row>
    <row r="34" spans="1:10" x14ac:dyDescent="0.35">
      <c r="A34" s="296"/>
      <c r="B34" s="295"/>
      <c r="C34" s="294"/>
      <c r="D34" s="371" t="s">
        <v>475</v>
      </c>
      <c r="E34" s="370">
        <v>75.77</v>
      </c>
      <c r="F34" s="292"/>
      <c r="G34" s="292"/>
      <c r="H34" s="369" t="s">
        <v>477</v>
      </c>
      <c r="I34" s="290"/>
      <c r="J34" s="289" t="s">
        <v>476</v>
      </c>
    </row>
    <row r="35" spans="1:10" x14ac:dyDescent="0.35">
      <c r="A35" s="296"/>
      <c r="B35" s="295"/>
      <c r="C35" s="294"/>
      <c r="D35" s="371" t="s">
        <v>475</v>
      </c>
      <c r="E35" s="370">
        <v>11.28</v>
      </c>
      <c r="F35" s="292"/>
      <c r="G35" s="292"/>
      <c r="H35" s="369" t="s">
        <v>474</v>
      </c>
      <c r="I35" s="290"/>
      <c r="J35" s="289"/>
    </row>
    <row r="36" spans="1:10" x14ac:dyDescent="0.35">
      <c r="A36" s="296"/>
      <c r="B36" s="295"/>
      <c r="C36" s="294"/>
      <c r="D36" s="371" t="s">
        <v>475</v>
      </c>
      <c r="E36" s="370">
        <v>6.68</v>
      </c>
      <c r="F36" s="292"/>
      <c r="G36" s="292"/>
      <c r="H36" s="369" t="s">
        <v>474</v>
      </c>
      <c r="I36" s="290"/>
      <c r="J36" s="289"/>
    </row>
    <row r="37" spans="1:10" x14ac:dyDescent="0.35">
      <c r="A37" s="296"/>
      <c r="B37" s="295"/>
      <c r="C37" s="294"/>
      <c r="D37" s="402" t="s">
        <v>473</v>
      </c>
      <c r="E37" s="404">
        <v>22.87</v>
      </c>
      <c r="F37" s="292"/>
      <c r="G37" s="292"/>
      <c r="H37" s="756" t="s">
        <v>472</v>
      </c>
      <c r="I37" s="290"/>
      <c r="J37" s="289"/>
    </row>
    <row r="38" spans="1:10" x14ac:dyDescent="0.35">
      <c r="A38" s="296"/>
      <c r="B38" s="295"/>
      <c r="C38" s="294"/>
      <c r="D38" s="402" t="s">
        <v>471</v>
      </c>
      <c r="E38" s="403">
        <v>11.37</v>
      </c>
      <c r="F38" s="292"/>
      <c r="G38" s="292"/>
      <c r="H38" s="756"/>
      <c r="I38" s="290"/>
      <c r="J38" s="289"/>
    </row>
    <row r="39" spans="1:10" x14ac:dyDescent="0.35">
      <c r="A39" s="296"/>
      <c r="B39" s="295"/>
      <c r="C39" s="294"/>
      <c r="D39" s="402" t="s">
        <v>470</v>
      </c>
      <c r="E39" s="401">
        <v>22.72</v>
      </c>
      <c r="F39" s="292"/>
      <c r="G39" s="292"/>
      <c r="H39" s="757"/>
      <c r="I39" s="290"/>
      <c r="J39" s="289"/>
    </row>
    <row r="40" spans="1:10" x14ac:dyDescent="0.35">
      <c r="A40" s="309"/>
      <c r="B40" s="308"/>
      <c r="C40" s="307"/>
      <c r="D40" s="306" t="s">
        <v>403</v>
      </c>
      <c r="E40" s="400">
        <v>192.69000000000003</v>
      </c>
      <c r="F40" s="305"/>
      <c r="G40" s="305"/>
      <c r="H40" s="304"/>
      <c r="I40" s="290"/>
      <c r="J40" s="399"/>
    </row>
    <row r="41" spans="1:10" x14ac:dyDescent="0.35">
      <c r="A41" s="303">
        <v>5</v>
      </c>
      <c r="B41" s="302"/>
      <c r="C41" s="300" t="s">
        <v>133</v>
      </c>
      <c r="D41" s="398" t="s">
        <v>406</v>
      </c>
      <c r="E41" s="397">
        <v>2.85</v>
      </c>
      <c r="F41" s="292"/>
      <c r="G41" s="292"/>
      <c r="H41" s="344"/>
      <c r="I41" s="290"/>
      <c r="J41" s="289" t="s">
        <v>469</v>
      </c>
    </row>
    <row r="42" spans="1:10" x14ac:dyDescent="0.35">
      <c r="A42" s="296"/>
      <c r="B42" s="295"/>
      <c r="C42" s="294"/>
      <c r="D42" s="395" t="s">
        <v>405</v>
      </c>
      <c r="E42" s="378">
        <v>8.1199999999999992</v>
      </c>
      <c r="F42" s="292"/>
      <c r="G42" s="292"/>
      <c r="H42" s="394" t="s">
        <v>468</v>
      </c>
      <c r="I42" s="396"/>
      <c r="J42" s="289" t="s">
        <v>467</v>
      </c>
    </row>
    <row r="43" spans="1:10" x14ac:dyDescent="0.35">
      <c r="A43" s="296"/>
      <c r="B43" s="295"/>
      <c r="C43" s="294"/>
      <c r="D43" s="395" t="s">
        <v>433</v>
      </c>
      <c r="E43" s="378">
        <v>7.06</v>
      </c>
      <c r="F43" s="292"/>
      <c r="G43" s="292"/>
      <c r="H43" s="394" t="s">
        <v>466</v>
      </c>
      <c r="I43" s="290"/>
      <c r="J43" s="393"/>
    </row>
    <row r="44" spans="1:10" x14ac:dyDescent="0.35">
      <c r="A44" s="296"/>
      <c r="B44" s="295"/>
      <c r="C44" s="294"/>
      <c r="D44" s="395" t="s">
        <v>465</v>
      </c>
      <c r="E44" s="378">
        <v>117.65</v>
      </c>
      <c r="F44" s="292"/>
      <c r="G44" s="292" t="s">
        <v>464</v>
      </c>
      <c r="H44" s="394" t="s">
        <v>463</v>
      </c>
      <c r="I44" s="290"/>
      <c r="J44" s="393"/>
    </row>
    <row r="45" spans="1:10" x14ac:dyDescent="0.35">
      <c r="A45" s="296"/>
      <c r="B45" s="295"/>
      <c r="C45" s="294"/>
      <c r="D45" s="343" t="s">
        <v>403</v>
      </c>
      <c r="E45" s="343">
        <f>SUM(E41:E44)</f>
        <v>135.68</v>
      </c>
      <c r="F45" s="342"/>
      <c r="G45" s="342"/>
      <c r="H45" s="320"/>
      <c r="I45" s="290"/>
      <c r="J45" s="289"/>
    </row>
    <row r="46" spans="1:10" ht="15" thickBot="1" x14ac:dyDescent="0.4">
      <c r="A46" s="366"/>
      <c r="B46" s="365"/>
      <c r="C46" s="364"/>
      <c r="D46" s="364"/>
      <c r="E46" s="364"/>
      <c r="F46" s="392"/>
      <c r="G46" s="392"/>
      <c r="H46" s="391"/>
      <c r="I46" s="290"/>
      <c r="J46" s="289"/>
    </row>
    <row r="47" spans="1:10" ht="15" thickBot="1" x14ac:dyDescent="0.4">
      <c r="B47" s="390"/>
      <c r="C47" s="390"/>
      <c r="D47" s="390"/>
      <c r="E47" s="390"/>
      <c r="F47" s="390"/>
      <c r="G47" s="390"/>
      <c r="H47" s="389"/>
      <c r="I47" s="290"/>
      <c r="J47" s="289"/>
    </row>
    <row r="48" spans="1:10" ht="15" thickTop="1" x14ac:dyDescent="0.35">
      <c r="A48" s="360" t="s">
        <v>207</v>
      </c>
      <c r="B48" s="359"/>
      <c r="C48" s="350" t="s">
        <v>430</v>
      </c>
      <c r="D48" s="350" t="s">
        <v>429</v>
      </c>
      <c r="E48" s="350" t="s">
        <v>428</v>
      </c>
      <c r="F48" s="358"/>
      <c r="G48" s="358"/>
      <c r="H48" s="358" t="s">
        <v>462</v>
      </c>
      <c r="I48" s="290"/>
      <c r="J48" s="289"/>
    </row>
    <row r="49" spans="1:10" ht="15" thickBot="1" x14ac:dyDescent="0.4">
      <c r="A49" s="288"/>
      <c r="B49" s="287"/>
      <c r="C49" s="286"/>
      <c r="D49" s="286"/>
      <c r="E49" s="286"/>
      <c r="F49" s="356"/>
      <c r="G49" s="356"/>
      <c r="H49" s="355"/>
      <c r="I49" s="290"/>
      <c r="J49" s="289"/>
    </row>
    <row r="50" spans="1:10" ht="15" thickTop="1" x14ac:dyDescent="0.35">
      <c r="A50" s="354">
        <v>6</v>
      </c>
      <c r="B50" s="388"/>
      <c r="C50" s="351" t="s">
        <v>461</v>
      </c>
      <c r="D50" s="387" t="s">
        <v>406</v>
      </c>
      <c r="E50" s="386">
        <v>1.8</v>
      </c>
      <c r="F50" s="358"/>
      <c r="G50" s="358"/>
      <c r="H50" s="385" t="s">
        <v>460</v>
      </c>
      <c r="I50" s="290"/>
      <c r="J50" s="289"/>
    </row>
    <row r="51" spans="1:10" x14ac:dyDescent="0.35">
      <c r="A51" s="296"/>
      <c r="B51" s="295"/>
      <c r="C51" s="294"/>
      <c r="D51" s="371" t="s">
        <v>405</v>
      </c>
      <c r="E51" s="370">
        <v>7.3</v>
      </c>
      <c r="F51" s="292"/>
      <c r="G51" s="292"/>
      <c r="H51" s="369" t="s">
        <v>459</v>
      </c>
      <c r="I51" s="290"/>
      <c r="J51" s="289"/>
    </row>
    <row r="52" spans="1:10" x14ac:dyDescent="0.35">
      <c r="A52" s="296"/>
      <c r="B52" s="295"/>
      <c r="C52" s="294"/>
      <c r="D52" s="371" t="s">
        <v>458</v>
      </c>
      <c r="E52" s="370">
        <v>10.36</v>
      </c>
      <c r="F52" s="292"/>
      <c r="G52" s="292"/>
      <c r="H52" s="369" t="s">
        <v>457</v>
      </c>
      <c r="I52" s="290"/>
      <c r="J52" s="289"/>
    </row>
    <row r="53" spans="1:10" ht="15" thickBot="1" x14ac:dyDescent="0.4">
      <c r="A53" s="296"/>
      <c r="B53" s="295"/>
      <c r="C53" s="294"/>
      <c r="D53" s="306" t="s">
        <v>403</v>
      </c>
      <c r="E53" s="343">
        <v>19.46</v>
      </c>
      <c r="F53" s="342"/>
      <c r="G53" s="342"/>
      <c r="H53" s="320"/>
      <c r="I53" s="290"/>
      <c r="J53" s="289"/>
    </row>
    <row r="54" spans="1:10" ht="15" thickTop="1" x14ac:dyDescent="0.35">
      <c r="A54" s="303">
        <v>7</v>
      </c>
      <c r="B54" s="302"/>
      <c r="C54" s="316" t="s">
        <v>456</v>
      </c>
      <c r="D54" s="384" t="s">
        <v>406</v>
      </c>
      <c r="E54" s="373">
        <v>2</v>
      </c>
      <c r="F54" s="292"/>
      <c r="G54" s="292"/>
      <c r="H54" s="383" t="s">
        <v>455</v>
      </c>
      <c r="I54" s="290"/>
      <c r="J54" s="289"/>
    </row>
    <row r="55" spans="1:10" x14ac:dyDescent="0.35">
      <c r="A55" s="314"/>
      <c r="B55" s="313"/>
      <c r="C55" s="312"/>
      <c r="D55" s="382" t="s">
        <v>405</v>
      </c>
      <c r="E55" s="370">
        <v>10.71</v>
      </c>
      <c r="F55" s="292"/>
      <c r="G55" s="292"/>
      <c r="H55" s="310"/>
      <c r="I55" s="290"/>
      <c r="J55" s="289"/>
    </row>
    <row r="56" spans="1:10" x14ac:dyDescent="0.35">
      <c r="A56" s="296"/>
      <c r="B56" s="295"/>
      <c r="C56" s="294"/>
      <c r="D56" s="343" t="s">
        <v>403</v>
      </c>
      <c r="E56" s="343">
        <v>12.71</v>
      </c>
      <c r="F56" s="342"/>
      <c r="G56" s="342"/>
      <c r="H56" s="320"/>
      <c r="I56" s="290"/>
      <c r="J56" s="289"/>
    </row>
    <row r="57" spans="1:10" x14ac:dyDescent="0.35">
      <c r="A57" s="303">
        <v>8</v>
      </c>
      <c r="B57" s="302"/>
      <c r="C57" s="300" t="s">
        <v>454</v>
      </c>
      <c r="D57" s="301" t="s">
        <v>406</v>
      </c>
      <c r="E57" s="381" t="s">
        <v>453</v>
      </c>
      <c r="F57" s="377">
        <v>121428</v>
      </c>
      <c r="G57" s="298"/>
      <c r="H57" s="380" t="s">
        <v>452</v>
      </c>
      <c r="I57" s="290"/>
      <c r="J57" s="289"/>
    </row>
    <row r="58" spans="1:10" x14ac:dyDescent="0.35">
      <c r="A58" s="314"/>
      <c r="B58" s="313"/>
      <c r="C58" s="312"/>
      <c r="D58" s="379" t="s">
        <v>405</v>
      </c>
      <c r="E58" s="378" t="s">
        <v>451</v>
      </c>
      <c r="F58" s="377">
        <f>F57</f>
        <v>121428</v>
      </c>
      <c r="G58" s="292"/>
      <c r="H58" s="376" t="s">
        <v>450</v>
      </c>
      <c r="I58" s="290"/>
      <c r="J58" s="289"/>
    </row>
    <row r="59" spans="1:10" x14ac:dyDescent="0.35">
      <c r="A59" s="296"/>
      <c r="B59" s="295"/>
      <c r="C59" s="294"/>
      <c r="D59" s="332" t="s">
        <v>433</v>
      </c>
      <c r="E59" s="331" t="s">
        <v>449</v>
      </c>
      <c r="F59" s="292"/>
      <c r="G59" s="292"/>
      <c r="H59" s="375" t="s">
        <v>416</v>
      </c>
      <c r="I59" s="290"/>
      <c r="J59" s="289"/>
    </row>
    <row r="60" spans="1:10" x14ac:dyDescent="0.35">
      <c r="A60" s="368"/>
      <c r="B60" s="367"/>
      <c r="C60" s="294"/>
      <c r="D60" s="371" t="s">
        <v>432</v>
      </c>
      <c r="E60" s="370">
        <v>10.71</v>
      </c>
      <c r="F60" s="292"/>
      <c r="G60" s="292"/>
      <c r="H60" s="369" t="s">
        <v>448</v>
      </c>
      <c r="I60" s="290"/>
      <c r="J60" s="289"/>
    </row>
    <row r="61" spans="1:10" x14ac:dyDescent="0.35">
      <c r="A61" s="368"/>
      <c r="B61" s="367"/>
      <c r="C61" s="294"/>
      <c r="D61" s="371" t="s">
        <v>447</v>
      </c>
      <c r="E61" s="370">
        <v>21.35</v>
      </c>
      <c r="F61" s="292"/>
      <c r="G61" s="292"/>
      <c r="H61" s="369" t="s">
        <v>446</v>
      </c>
      <c r="I61" s="290"/>
      <c r="J61" s="289"/>
    </row>
    <row r="62" spans="1:10" x14ac:dyDescent="0.35">
      <c r="A62" s="296"/>
      <c r="B62" s="295"/>
      <c r="C62" s="294"/>
      <c r="D62" s="371" t="s">
        <v>447</v>
      </c>
      <c r="E62" s="370">
        <v>2</v>
      </c>
      <c r="F62" s="292"/>
      <c r="G62" s="292"/>
      <c r="H62" s="369" t="s">
        <v>446</v>
      </c>
      <c r="I62" s="290"/>
      <c r="J62" s="289"/>
    </row>
    <row r="63" spans="1:10" x14ac:dyDescent="0.35">
      <c r="A63" s="309"/>
      <c r="B63" s="308"/>
      <c r="C63" s="307"/>
      <c r="D63" s="306" t="s">
        <v>403</v>
      </c>
      <c r="E63" s="343">
        <v>160.21</v>
      </c>
      <c r="F63" s="342"/>
      <c r="G63" s="342"/>
      <c r="H63" s="320"/>
      <c r="I63" s="290"/>
      <c r="J63" s="289"/>
    </row>
    <row r="64" spans="1:10" x14ac:dyDescent="0.35">
      <c r="A64" s="303">
        <v>9</v>
      </c>
      <c r="B64" s="302"/>
      <c r="C64" s="300" t="s">
        <v>445</v>
      </c>
      <c r="D64" s="374" t="s">
        <v>406</v>
      </c>
      <c r="E64" s="373">
        <v>7.91</v>
      </c>
      <c r="F64" s="298"/>
      <c r="G64" s="298"/>
      <c r="H64" s="372" t="s">
        <v>444</v>
      </c>
      <c r="I64" s="290"/>
      <c r="J64" s="289"/>
    </row>
    <row r="65" spans="1:10" x14ac:dyDescent="0.35">
      <c r="A65" s="296"/>
      <c r="B65" s="295"/>
      <c r="C65" s="294"/>
      <c r="D65" s="371" t="s">
        <v>405</v>
      </c>
      <c r="E65" s="370">
        <v>7.9</v>
      </c>
      <c r="F65" s="292"/>
      <c r="G65" s="292"/>
      <c r="H65" s="369" t="s">
        <v>444</v>
      </c>
      <c r="I65" s="290"/>
      <c r="J65" s="289"/>
    </row>
    <row r="66" spans="1:10" x14ac:dyDescent="0.35">
      <c r="A66" s="309"/>
      <c r="B66" s="308"/>
      <c r="C66" s="307"/>
      <c r="D66" s="306" t="s">
        <v>403</v>
      </c>
      <c r="E66" s="306">
        <v>15.81</v>
      </c>
      <c r="F66" s="305"/>
      <c r="G66" s="305"/>
      <c r="H66" s="304"/>
      <c r="I66" s="290"/>
      <c r="J66" s="289"/>
    </row>
    <row r="67" spans="1:10" x14ac:dyDescent="0.35">
      <c r="A67" s="303">
        <v>10</v>
      </c>
      <c r="B67" s="320" t="s">
        <v>354</v>
      </c>
      <c r="C67" s="301" t="s">
        <v>443</v>
      </c>
      <c r="D67" s="300" t="s">
        <v>406</v>
      </c>
      <c r="E67" s="299">
        <v>13.05</v>
      </c>
      <c r="F67" s="298" t="s">
        <v>404</v>
      </c>
      <c r="G67" s="298"/>
      <c r="H67" s="320"/>
      <c r="I67" s="290"/>
      <c r="J67" s="289"/>
    </row>
    <row r="68" spans="1:10" x14ac:dyDescent="0.35">
      <c r="A68" s="296"/>
      <c r="B68" s="295"/>
      <c r="C68" s="294"/>
      <c r="D68" s="294" t="s">
        <v>405</v>
      </c>
      <c r="E68" s="293">
        <v>14.88</v>
      </c>
      <c r="F68" s="292"/>
      <c r="G68" s="292"/>
      <c r="H68" s="344"/>
      <c r="I68" s="290"/>
      <c r="J68" s="289"/>
    </row>
    <row r="69" spans="1:10" x14ac:dyDescent="0.35">
      <c r="A69" s="309"/>
      <c r="B69" s="308"/>
      <c r="C69" s="307"/>
      <c r="D69" s="306" t="s">
        <v>403</v>
      </c>
      <c r="E69" s="306">
        <v>27.93</v>
      </c>
      <c r="F69" s="305"/>
      <c r="G69" s="305"/>
      <c r="H69" s="304"/>
      <c r="I69" s="290"/>
      <c r="J69" s="289"/>
    </row>
    <row r="70" spans="1:10" x14ac:dyDescent="0.35">
      <c r="A70" s="303">
        <v>11</v>
      </c>
      <c r="B70" s="320" t="s">
        <v>354</v>
      </c>
      <c r="C70" s="301" t="s">
        <v>442</v>
      </c>
      <c r="D70" s="300" t="s">
        <v>406</v>
      </c>
      <c r="E70" s="299">
        <v>13.04</v>
      </c>
      <c r="F70" s="298" t="s">
        <v>404</v>
      </c>
      <c r="G70" s="298"/>
      <c r="H70" s="320"/>
      <c r="I70" s="290"/>
      <c r="J70" s="289"/>
    </row>
    <row r="71" spans="1:10" x14ac:dyDescent="0.35">
      <c r="A71" s="296"/>
      <c r="B71" s="295"/>
      <c r="C71" s="294"/>
      <c r="D71" s="294" t="s">
        <v>405</v>
      </c>
      <c r="E71" s="293">
        <v>14.88</v>
      </c>
      <c r="F71" s="292"/>
      <c r="G71" s="292"/>
      <c r="H71" s="320"/>
      <c r="I71" s="290"/>
      <c r="J71" s="289"/>
    </row>
    <row r="72" spans="1:10" x14ac:dyDescent="0.35">
      <c r="A72" s="296"/>
      <c r="B72" s="295"/>
      <c r="C72" s="294"/>
      <c r="D72" s="294" t="s">
        <v>433</v>
      </c>
      <c r="E72" s="293">
        <v>7.99</v>
      </c>
      <c r="F72" s="292"/>
      <c r="G72" s="292"/>
      <c r="H72" s="320"/>
      <c r="I72" s="290"/>
      <c r="J72" s="289"/>
    </row>
    <row r="73" spans="1:10" x14ac:dyDescent="0.35">
      <c r="A73" s="368"/>
      <c r="B73" s="367"/>
      <c r="C73" s="294"/>
      <c r="D73" s="294" t="s">
        <v>432</v>
      </c>
      <c r="E73" s="293">
        <v>8</v>
      </c>
      <c r="F73" s="292"/>
      <c r="G73" s="292"/>
      <c r="H73" s="320"/>
      <c r="I73" s="290"/>
      <c r="J73" s="289"/>
    </row>
    <row r="74" spans="1:10" ht="29" x14ac:dyDescent="0.35">
      <c r="A74" s="309"/>
      <c r="B74" s="308"/>
      <c r="C74" s="307"/>
      <c r="D74" s="306" t="s">
        <v>403</v>
      </c>
      <c r="E74" s="306">
        <v>43.910000000000004</v>
      </c>
      <c r="F74" s="305"/>
      <c r="G74" s="305"/>
      <c r="H74" s="304"/>
      <c r="I74" s="290"/>
      <c r="J74" s="289"/>
    </row>
    <row r="75" spans="1:10" x14ac:dyDescent="0.35">
      <c r="A75" s="303">
        <v>12</v>
      </c>
      <c r="B75" s="302"/>
      <c r="C75" s="335" t="s">
        <v>441</v>
      </c>
      <c r="D75" s="335" t="s">
        <v>406</v>
      </c>
      <c r="E75" s="334">
        <v>13.04</v>
      </c>
      <c r="F75" s="298"/>
      <c r="G75" s="298"/>
      <c r="H75" s="751" t="s">
        <v>440</v>
      </c>
      <c r="I75" s="290"/>
      <c r="J75" s="289"/>
    </row>
    <row r="76" spans="1:10" x14ac:dyDescent="0.35">
      <c r="A76" s="296"/>
      <c r="B76" s="295"/>
      <c r="C76" s="294"/>
      <c r="D76" s="332" t="s">
        <v>405</v>
      </c>
      <c r="E76" s="331">
        <v>9.6999999999999993</v>
      </c>
      <c r="F76" s="292"/>
      <c r="G76" s="292"/>
      <c r="H76" s="755"/>
      <c r="I76" s="290"/>
      <c r="J76" s="289"/>
    </row>
    <row r="77" spans="1:10" x14ac:dyDescent="0.35">
      <c r="A77" s="296"/>
      <c r="B77" s="295"/>
      <c r="C77" s="294"/>
      <c r="D77" s="332" t="s">
        <v>433</v>
      </c>
      <c r="E77" s="331">
        <v>8.01</v>
      </c>
      <c r="F77" s="292"/>
      <c r="G77" s="292"/>
      <c r="H77" s="755"/>
      <c r="I77" s="290"/>
      <c r="J77" s="289"/>
    </row>
    <row r="78" spans="1:10" x14ac:dyDescent="0.35">
      <c r="A78" s="368"/>
      <c r="B78" s="367"/>
      <c r="C78" s="294"/>
      <c r="D78" s="332" t="s">
        <v>432</v>
      </c>
      <c r="E78" s="331">
        <v>8.01</v>
      </c>
      <c r="F78" s="292"/>
      <c r="G78" s="292"/>
      <c r="H78" s="752"/>
      <c r="I78" s="290"/>
      <c r="J78" s="289"/>
    </row>
    <row r="79" spans="1:10" ht="29" x14ac:dyDescent="0.35">
      <c r="A79" s="309"/>
      <c r="B79" s="308"/>
      <c r="C79" s="307"/>
      <c r="D79" s="306" t="s">
        <v>403</v>
      </c>
      <c r="E79" s="306">
        <v>38.76</v>
      </c>
      <c r="F79" s="305"/>
      <c r="G79" s="305"/>
      <c r="H79" s="304"/>
      <c r="I79" s="290"/>
      <c r="J79" s="289"/>
    </row>
    <row r="80" spans="1:10" x14ac:dyDescent="0.35">
      <c r="A80" s="303">
        <v>13</v>
      </c>
      <c r="B80" s="320" t="s">
        <v>439</v>
      </c>
      <c r="C80" s="301" t="s">
        <v>438</v>
      </c>
      <c r="D80" s="300" t="s">
        <v>406</v>
      </c>
      <c r="E80" s="299">
        <v>7.92</v>
      </c>
      <c r="F80" s="298" t="s">
        <v>404</v>
      </c>
      <c r="G80" s="297">
        <v>45657</v>
      </c>
      <c r="H80" s="320"/>
      <c r="I80" s="290"/>
      <c r="J80" s="289"/>
    </row>
    <row r="81" spans="1:10" x14ac:dyDescent="0.35">
      <c r="A81" s="296"/>
      <c r="B81" s="295"/>
      <c r="C81" s="294"/>
      <c r="D81" s="294" t="s">
        <v>405</v>
      </c>
      <c r="E81" s="293">
        <v>7.92</v>
      </c>
      <c r="F81" s="292"/>
      <c r="G81" s="292"/>
      <c r="H81" s="320"/>
      <c r="I81" s="290"/>
      <c r="J81" s="289"/>
    </row>
    <row r="82" spans="1:10" ht="29" x14ac:dyDescent="0.35">
      <c r="A82" s="309"/>
      <c r="B82" s="308"/>
      <c r="C82" s="307"/>
      <c r="D82" s="306" t="s">
        <v>403</v>
      </c>
      <c r="E82" s="306">
        <v>15.84</v>
      </c>
      <c r="F82" s="305"/>
      <c r="G82" s="305"/>
      <c r="H82" s="304"/>
      <c r="I82" s="290"/>
      <c r="J82" s="289"/>
    </row>
    <row r="83" spans="1:10" x14ac:dyDescent="0.35">
      <c r="A83" s="303">
        <v>14</v>
      </c>
      <c r="B83" s="320" t="s">
        <v>437</v>
      </c>
      <c r="C83" s="301" t="s">
        <v>436</v>
      </c>
      <c r="D83" s="300" t="s">
        <v>406</v>
      </c>
      <c r="E83" s="299">
        <v>13.04</v>
      </c>
      <c r="F83" s="298" t="s">
        <v>404</v>
      </c>
      <c r="G83" s="297">
        <v>44895</v>
      </c>
      <c r="H83" s="320"/>
      <c r="I83" s="290"/>
      <c r="J83" s="289"/>
    </row>
    <row r="84" spans="1:10" x14ac:dyDescent="0.35">
      <c r="A84" s="296"/>
      <c r="B84" s="295"/>
      <c r="C84" s="294"/>
      <c r="D84" s="294" t="s">
        <v>405</v>
      </c>
      <c r="E84" s="293">
        <v>14.87</v>
      </c>
      <c r="F84" s="292"/>
      <c r="G84" s="292"/>
      <c r="H84" s="320"/>
      <c r="I84" s="290"/>
      <c r="J84" s="289"/>
    </row>
    <row r="85" spans="1:10" ht="29" x14ac:dyDescent="0.35">
      <c r="A85" s="309"/>
      <c r="B85" s="308"/>
      <c r="C85" s="307"/>
      <c r="D85" s="306" t="s">
        <v>403</v>
      </c>
      <c r="E85" s="306">
        <v>27.909999999999997</v>
      </c>
      <c r="F85" s="305"/>
      <c r="G85" s="305"/>
      <c r="H85" s="304"/>
      <c r="I85" s="290"/>
      <c r="J85" s="289"/>
    </row>
    <row r="86" spans="1:10" x14ac:dyDescent="0.35">
      <c r="A86" s="303">
        <v>15</v>
      </c>
      <c r="B86" s="344" t="s">
        <v>435</v>
      </c>
      <c r="C86" s="301" t="s">
        <v>434</v>
      </c>
      <c r="D86" s="300" t="s">
        <v>406</v>
      </c>
      <c r="E86" s="299">
        <v>13.04</v>
      </c>
      <c r="F86" s="292"/>
      <c r="G86" s="292"/>
      <c r="H86" s="344"/>
      <c r="I86" s="290"/>
      <c r="J86" s="289"/>
    </row>
    <row r="87" spans="1:10" x14ac:dyDescent="0.35">
      <c r="A87" s="296"/>
      <c r="B87" s="295"/>
      <c r="C87" s="294"/>
      <c r="D87" s="294" t="s">
        <v>405</v>
      </c>
      <c r="E87" s="293">
        <v>9.6999999999999993</v>
      </c>
      <c r="F87" s="292"/>
      <c r="G87" s="292"/>
      <c r="H87" s="344"/>
      <c r="I87" s="290"/>
      <c r="J87" s="289"/>
    </row>
    <row r="88" spans="1:10" x14ac:dyDescent="0.35">
      <c r="A88" s="296"/>
      <c r="B88" s="295"/>
      <c r="C88" s="294"/>
      <c r="D88" s="294" t="s">
        <v>433</v>
      </c>
      <c r="E88" s="293">
        <v>8</v>
      </c>
      <c r="F88" s="292"/>
      <c r="G88" s="292"/>
      <c r="H88" s="344"/>
      <c r="I88" s="290"/>
      <c r="J88" s="289"/>
    </row>
    <row r="89" spans="1:10" x14ac:dyDescent="0.35">
      <c r="A89" s="368"/>
      <c r="B89" s="367"/>
      <c r="C89" s="294"/>
      <c r="D89" s="294" t="s">
        <v>432</v>
      </c>
      <c r="E89" s="293">
        <v>8</v>
      </c>
      <c r="F89" s="292"/>
      <c r="G89" s="292"/>
      <c r="H89" s="344"/>
      <c r="I89" s="290"/>
      <c r="J89" s="289"/>
    </row>
    <row r="90" spans="1:10" ht="29.5" thickBot="1" x14ac:dyDescent="0.4">
      <c r="A90" s="366"/>
      <c r="B90" s="365"/>
      <c r="C90" s="364"/>
      <c r="D90" s="363" t="s">
        <v>403</v>
      </c>
      <c r="E90" s="363" t="s">
        <v>431</v>
      </c>
      <c r="F90" s="362"/>
      <c r="G90" s="362"/>
      <c r="H90" s="361"/>
      <c r="I90" s="290"/>
      <c r="J90" s="289"/>
    </row>
    <row r="91" spans="1:10" x14ac:dyDescent="0.35">
      <c r="I91" s="290"/>
      <c r="J91" s="289"/>
    </row>
    <row r="92" spans="1:10" ht="15" thickBot="1" x14ac:dyDescent="0.4">
      <c r="I92" s="290"/>
      <c r="J92" s="289"/>
    </row>
    <row r="93" spans="1:10" ht="15" thickTop="1" x14ac:dyDescent="0.35">
      <c r="A93" s="360" t="s">
        <v>207</v>
      </c>
      <c r="B93" s="359"/>
      <c r="C93" s="350" t="s">
        <v>430</v>
      </c>
      <c r="D93" s="350" t="s">
        <v>429</v>
      </c>
      <c r="E93" s="350" t="s">
        <v>428</v>
      </c>
      <c r="F93" s="358" t="s">
        <v>427</v>
      </c>
      <c r="G93" s="358" t="s">
        <v>426</v>
      </c>
      <c r="H93" s="358" t="s">
        <v>425</v>
      </c>
      <c r="I93" s="357"/>
      <c r="J93" s="289"/>
    </row>
    <row r="94" spans="1:10" ht="15" thickBot="1" x14ac:dyDescent="0.4">
      <c r="A94" s="288"/>
      <c r="B94" s="287"/>
      <c r="C94" s="286"/>
      <c r="D94" s="286"/>
      <c r="E94" s="286"/>
      <c r="F94" s="356"/>
      <c r="G94" s="356"/>
      <c r="H94" s="355"/>
      <c r="I94" s="282"/>
      <c r="J94" s="289"/>
    </row>
    <row r="95" spans="1:10" ht="15" thickTop="1" x14ac:dyDescent="0.35">
      <c r="A95" s="354">
        <v>16</v>
      </c>
      <c r="B95" s="353" t="s">
        <v>415</v>
      </c>
      <c r="C95" s="352" t="s">
        <v>424</v>
      </c>
      <c r="D95" s="351" t="s">
        <v>406</v>
      </c>
      <c r="E95" s="350">
        <v>7.49</v>
      </c>
      <c r="G95" s="315">
        <v>44544</v>
      </c>
      <c r="H95" s="344"/>
      <c r="I95" s="290"/>
      <c r="J95" s="289"/>
    </row>
    <row r="96" spans="1:10" x14ac:dyDescent="0.35">
      <c r="A96" s="296"/>
      <c r="B96" s="295"/>
      <c r="C96" s="294"/>
      <c r="D96" s="294" t="s">
        <v>405</v>
      </c>
      <c r="E96" s="293">
        <v>8.52</v>
      </c>
      <c r="F96" s="292"/>
      <c r="G96" s="292"/>
      <c r="H96" s="344"/>
      <c r="I96" s="290"/>
      <c r="J96" s="289"/>
    </row>
    <row r="97" spans="1:10" ht="29" x14ac:dyDescent="0.35">
      <c r="A97" s="296"/>
      <c r="B97" s="295"/>
      <c r="C97" s="294"/>
      <c r="D97" s="306" t="s">
        <v>403</v>
      </c>
      <c r="E97" s="343">
        <v>16.009999999999998</v>
      </c>
      <c r="F97" s="342"/>
      <c r="G97" s="342"/>
      <c r="H97" s="320"/>
      <c r="I97" s="290"/>
      <c r="J97" s="289"/>
    </row>
    <row r="98" spans="1:10" x14ac:dyDescent="0.35">
      <c r="A98" s="303">
        <v>17</v>
      </c>
      <c r="B98" s="302" t="s">
        <v>151</v>
      </c>
      <c r="C98" s="301" t="s">
        <v>423</v>
      </c>
      <c r="D98" s="349" t="s">
        <v>406</v>
      </c>
      <c r="E98" s="348">
        <v>8.68</v>
      </c>
      <c r="F98" s="311">
        <v>160000</v>
      </c>
      <c r="G98" s="315">
        <v>45138</v>
      </c>
      <c r="H98" s="341"/>
      <c r="I98" s="290"/>
      <c r="J98" s="289"/>
    </row>
    <row r="99" spans="1:10" x14ac:dyDescent="0.35">
      <c r="A99" s="296"/>
      <c r="B99" s="295"/>
      <c r="C99" s="294"/>
      <c r="D99" s="347" t="s">
        <v>405</v>
      </c>
      <c r="E99" s="346">
        <v>6.42</v>
      </c>
      <c r="F99" s="330"/>
      <c r="G99" s="330"/>
      <c r="H99" s="345"/>
      <c r="I99" s="290"/>
      <c r="J99" s="289"/>
    </row>
    <row r="100" spans="1:10" ht="29" x14ac:dyDescent="0.35">
      <c r="A100" s="296"/>
      <c r="B100" s="295"/>
      <c r="C100" s="294"/>
      <c r="D100" s="343" t="s">
        <v>403</v>
      </c>
      <c r="E100" s="343">
        <f>SUM(E98:E99)</f>
        <v>15.1</v>
      </c>
      <c r="F100" s="342"/>
      <c r="G100" s="342"/>
      <c r="H100" s="304"/>
      <c r="I100" s="290"/>
      <c r="J100" s="289"/>
    </row>
    <row r="101" spans="1:10" x14ac:dyDescent="0.35">
      <c r="A101" s="303">
        <v>18</v>
      </c>
      <c r="B101" s="302" t="s">
        <v>307</v>
      </c>
      <c r="C101" s="301" t="s">
        <v>422</v>
      </c>
      <c r="D101" s="300" t="s">
        <v>406</v>
      </c>
      <c r="E101" s="299">
        <v>7.39</v>
      </c>
      <c r="F101" s="311">
        <v>160000</v>
      </c>
      <c r="G101" s="315">
        <v>45169</v>
      </c>
      <c r="H101" s="344"/>
      <c r="I101" s="290"/>
      <c r="J101" s="289"/>
    </row>
    <row r="102" spans="1:10" x14ac:dyDescent="0.35">
      <c r="A102" s="314"/>
      <c r="B102" s="313"/>
      <c r="C102" s="312"/>
      <c r="D102" s="312" t="s">
        <v>405</v>
      </c>
      <c r="E102" s="293">
        <v>8.44</v>
      </c>
      <c r="F102" s="292"/>
      <c r="G102" s="292"/>
      <c r="H102" s="344"/>
      <c r="I102" s="290"/>
      <c r="J102" s="289"/>
    </row>
    <row r="103" spans="1:10" ht="29" x14ac:dyDescent="0.35">
      <c r="A103" s="309"/>
      <c r="B103" s="308"/>
      <c r="C103" s="307"/>
      <c r="D103" s="306" t="s">
        <v>403</v>
      </c>
      <c r="E103" s="343">
        <v>15.829999999999998</v>
      </c>
      <c r="F103" s="342"/>
      <c r="G103" s="342"/>
      <c r="H103" s="320"/>
      <c r="I103" s="290"/>
      <c r="J103" s="289"/>
    </row>
    <row r="104" spans="1:10" x14ac:dyDescent="0.35">
      <c r="A104" s="303">
        <v>19</v>
      </c>
      <c r="B104" s="302" t="s">
        <v>421</v>
      </c>
      <c r="C104" s="301" t="s">
        <v>420</v>
      </c>
      <c r="D104" s="300" t="s">
        <v>406</v>
      </c>
      <c r="E104" s="299">
        <v>7.39</v>
      </c>
      <c r="F104" s="311">
        <v>160000</v>
      </c>
      <c r="G104" s="297">
        <v>44985</v>
      </c>
      <c r="H104" s="341"/>
      <c r="I104" s="290"/>
      <c r="J104" s="289"/>
    </row>
    <row r="105" spans="1:10" x14ac:dyDescent="0.35">
      <c r="A105" s="296"/>
      <c r="B105" s="295"/>
      <c r="C105" s="294"/>
      <c r="D105" s="294" t="s">
        <v>405</v>
      </c>
      <c r="E105" s="293">
        <v>8.44</v>
      </c>
      <c r="F105" s="292"/>
      <c r="G105" s="292"/>
      <c r="H105" s="329"/>
      <c r="I105" s="290"/>
      <c r="J105" s="289"/>
    </row>
    <row r="106" spans="1:10" ht="29" x14ac:dyDescent="0.35">
      <c r="A106" s="309"/>
      <c r="B106" s="308"/>
      <c r="C106" s="307"/>
      <c r="D106" s="306" t="s">
        <v>403</v>
      </c>
      <c r="E106" s="306">
        <v>15.829999999999998</v>
      </c>
      <c r="F106" s="305"/>
      <c r="G106" s="305"/>
      <c r="H106" s="304"/>
      <c r="I106" s="290"/>
      <c r="J106" s="289"/>
    </row>
    <row r="107" spans="1:10" x14ac:dyDescent="0.35">
      <c r="A107" s="303">
        <v>20</v>
      </c>
      <c r="B107" s="302" t="s">
        <v>415</v>
      </c>
      <c r="C107" s="301" t="s">
        <v>419</v>
      </c>
      <c r="D107" s="300" t="s">
        <v>406</v>
      </c>
      <c r="E107" s="299">
        <v>7.39</v>
      </c>
      <c r="F107" s="311">
        <v>147000</v>
      </c>
      <c r="G107" s="297">
        <v>44544</v>
      </c>
      <c r="H107" s="320"/>
      <c r="I107" s="290"/>
      <c r="J107" s="289"/>
    </row>
    <row r="108" spans="1:10" x14ac:dyDescent="0.35">
      <c r="A108" s="314"/>
      <c r="B108" s="340" t="s">
        <v>307</v>
      </c>
      <c r="C108" s="312"/>
      <c r="D108" s="312" t="s">
        <v>405</v>
      </c>
      <c r="E108" s="293">
        <v>8.44</v>
      </c>
      <c r="F108" s="339"/>
      <c r="G108" s="315">
        <v>45169</v>
      </c>
      <c r="H108" s="338"/>
      <c r="I108" s="290"/>
      <c r="J108" s="289"/>
    </row>
    <row r="109" spans="1:10" ht="29" x14ac:dyDescent="0.35">
      <c r="A109" s="309"/>
      <c r="B109" s="308"/>
      <c r="C109" s="307"/>
      <c r="D109" s="306" t="s">
        <v>403</v>
      </c>
      <c r="E109" s="306">
        <v>15.829999999999998</v>
      </c>
      <c r="F109" s="305"/>
      <c r="G109" s="305"/>
      <c r="H109" s="304"/>
      <c r="I109" s="290"/>
      <c r="J109" s="289"/>
    </row>
    <row r="110" spans="1:10" x14ac:dyDescent="0.35">
      <c r="A110" s="303">
        <v>21</v>
      </c>
      <c r="B110" s="302"/>
      <c r="C110" s="325" t="s">
        <v>418</v>
      </c>
      <c r="D110" s="325" t="s">
        <v>406</v>
      </c>
      <c r="E110" s="324">
        <v>7.39</v>
      </c>
      <c r="F110" s="292"/>
      <c r="G110" s="292"/>
      <c r="H110" s="749" t="s">
        <v>410</v>
      </c>
      <c r="I110" s="290"/>
      <c r="J110" s="289"/>
    </row>
    <row r="111" spans="1:10" x14ac:dyDescent="0.35">
      <c r="A111" s="296"/>
      <c r="B111" s="295"/>
      <c r="C111" s="322"/>
      <c r="D111" s="322" t="s">
        <v>405</v>
      </c>
      <c r="E111" s="321">
        <v>8.44</v>
      </c>
      <c r="F111" s="292"/>
      <c r="G111" s="292"/>
      <c r="H111" s="750"/>
      <c r="I111" s="290"/>
      <c r="J111" s="289"/>
    </row>
    <row r="112" spans="1:10" ht="29" x14ac:dyDescent="0.35">
      <c r="A112" s="309"/>
      <c r="B112" s="337"/>
      <c r="C112" s="319"/>
      <c r="D112" s="318" t="s">
        <v>403</v>
      </c>
      <c r="E112" s="318">
        <v>15.829999999999998</v>
      </c>
      <c r="F112" s="305"/>
      <c r="G112" s="305"/>
      <c r="H112" s="304"/>
      <c r="I112" s="290"/>
      <c r="J112" s="289"/>
    </row>
    <row r="113" spans="1:10" x14ac:dyDescent="0.35">
      <c r="A113" s="303">
        <v>22</v>
      </c>
      <c r="B113" s="336"/>
      <c r="C113" s="335" t="s">
        <v>417</v>
      </c>
      <c r="D113" s="335" t="s">
        <v>406</v>
      </c>
      <c r="E113" s="334">
        <v>7.39</v>
      </c>
      <c r="F113" s="330"/>
      <c r="G113" s="330"/>
      <c r="H113" s="751" t="s">
        <v>416</v>
      </c>
      <c r="I113" s="290"/>
      <c r="J113" s="289"/>
    </row>
    <row r="114" spans="1:10" x14ac:dyDescent="0.35">
      <c r="A114" s="296"/>
      <c r="B114" s="333"/>
      <c r="C114" s="332"/>
      <c r="D114" s="332" t="s">
        <v>405</v>
      </c>
      <c r="E114" s="331">
        <v>5.47</v>
      </c>
      <c r="F114" s="330"/>
      <c r="G114" s="330"/>
      <c r="H114" s="752"/>
      <c r="I114" s="290"/>
      <c r="J114" s="289"/>
    </row>
    <row r="115" spans="1:10" ht="29" x14ac:dyDescent="0.35">
      <c r="A115" s="309"/>
      <c r="B115" s="308"/>
      <c r="C115" s="307"/>
      <c r="D115" s="306" t="s">
        <v>403</v>
      </c>
      <c r="E115" s="306">
        <v>12.86</v>
      </c>
      <c r="F115" s="305"/>
      <c r="G115" s="305"/>
      <c r="H115" s="304"/>
      <c r="I115" s="290"/>
      <c r="J115" s="289"/>
    </row>
    <row r="116" spans="1:10" x14ac:dyDescent="0.35">
      <c r="A116" s="303">
        <v>23</v>
      </c>
      <c r="B116" s="302" t="s">
        <v>415</v>
      </c>
      <c r="C116" s="301" t="s">
        <v>414</v>
      </c>
      <c r="D116" s="300" t="s">
        <v>406</v>
      </c>
      <c r="E116" s="299">
        <v>7.39</v>
      </c>
      <c r="F116" s="311">
        <v>147000</v>
      </c>
      <c r="G116" s="315">
        <v>44544</v>
      </c>
      <c r="H116" s="329"/>
      <c r="I116" s="290"/>
      <c r="J116" s="289"/>
    </row>
    <row r="117" spans="1:10" x14ac:dyDescent="0.35">
      <c r="A117" s="296"/>
      <c r="B117" s="295"/>
      <c r="C117" s="294"/>
      <c r="D117" s="322" t="s">
        <v>405</v>
      </c>
      <c r="E117" s="321">
        <v>8.44</v>
      </c>
      <c r="F117" s="292"/>
      <c r="G117" s="292"/>
      <c r="H117" s="328" t="s">
        <v>413</v>
      </c>
      <c r="I117" s="290"/>
      <c r="J117" s="289"/>
    </row>
    <row r="118" spans="1:10" ht="29" x14ac:dyDescent="0.35">
      <c r="A118" s="309"/>
      <c r="B118" s="308"/>
      <c r="C118" s="307"/>
      <c r="D118" s="306" t="s">
        <v>403</v>
      </c>
      <c r="E118" s="306">
        <v>15.829999999999998</v>
      </c>
      <c r="F118" s="305"/>
      <c r="G118" s="305"/>
      <c r="H118" s="304"/>
      <c r="I118" s="290"/>
      <c r="J118" s="289"/>
    </row>
    <row r="119" spans="1:10" x14ac:dyDescent="0.35">
      <c r="A119" s="303">
        <v>24</v>
      </c>
      <c r="B119" s="302"/>
      <c r="C119" s="325" t="s">
        <v>412</v>
      </c>
      <c r="D119" s="325" t="s">
        <v>406</v>
      </c>
      <c r="E119" s="324">
        <v>7.39</v>
      </c>
      <c r="F119" s="298"/>
      <c r="G119" s="298"/>
      <c r="H119" s="323" t="s">
        <v>410</v>
      </c>
      <c r="I119" s="290"/>
      <c r="J119" s="289"/>
    </row>
    <row r="120" spans="1:10" x14ac:dyDescent="0.35">
      <c r="A120" s="296"/>
      <c r="B120" s="295"/>
      <c r="C120" s="322"/>
      <c r="D120" s="322" t="s">
        <v>405</v>
      </c>
      <c r="E120" s="321">
        <v>5.47</v>
      </c>
      <c r="F120" s="292"/>
      <c r="G120" s="292"/>
      <c r="H120" s="327"/>
      <c r="I120" s="290"/>
      <c r="J120" s="289"/>
    </row>
    <row r="121" spans="1:10" ht="29" x14ac:dyDescent="0.35">
      <c r="A121" s="309"/>
      <c r="B121" s="308"/>
      <c r="C121" s="319"/>
      <c r="D121" s="318" t="s">
        <v>403</v>
      </c>
      <c r="E121" s="318">
        <v>12.86</v>
      </c>
      <c r="F121" s="305"/>
      <c r="G121" s="305"/>
      <c r="H121" s="304"/>
      <c r="I121" s="290"/>
      <c r="J121" s="289"/>
    </row>
    <row r="122" spans="1:10" x14ac:dyDescent="0.35">
      <c r="A122" s="303">
        <v>25</v>
      </c>
      <c r="B122" s="326"/>
      <c r="C122" s="325" t="s">
        <v>411</v>
      </c>
      <c r="D122" s="325" t="s">
        <v>406</v>
      </c>
      <c r="E122" s="324">
        <v>7.39</v>
      </c>
      <c r="F122" s="298"/>
      <c r="G122" s="298"/>
      <c r="H122" s="323" t="s">
        <v>410</v>
      </c>
      <c r="I122" s="290"/>
      <c r="J122" s="289"/>
    </row>
    <row r="123" spans="1:10" x14ac:dyDescent="0.35">
      <c r="A123" s="296"/>
      <c r="B123" s="295"/>
      <c r="C123" s="322"/>
      <c r="D123" s="322" t="s">
        <v>405</v>
      </c>
      <c r="E123" s="321">
        <v>8.44</v>
      </c>
      <c r="F123" s="292"/>
      <c r="G123" s="292"/>
      <c r="H123" s="320"/>
      <c r="I123" s="290"/>
      <c r="J123" s="289"/>
    </row>
    <row r="124" spans="1:10" ht="29" x14ac:dyDescent="0.35">
      <c r="A124" s="309"/>
      <c r="B124" s="308"/>
      <c r="C124" s="319"/>
      <c r="D124" s="318" t="s">
        <v>403</v>
      </c>
      <c r="E124" s="318">
        <v>15.829999999999998</v>
      </c>
      <c r="F124" s="305"/>
      <c r="G124" s="305"/>
      <c r="H124" s="304"/>
      <c r="I124" s="290"/>
      <c r="J124" s="289"/>
    </row>
    <row r="125" spans="1:10" x14ac:dyDescent="0.35">
      <c r="A125" s="303">
        <v>26</v>
      </c>
      <c r="B125" s="302" t="s">
        <v>409</v>
      </c>
      <c r="C125" s="317" t="s">
        <v>408</v>
      </c>
      <c r="D125" s="316" t="s">
        <v>406</v>
      </c>
      <c r="E125" s="299">
        <v>7.39</v>
      </c>
      <c r="F125" s="311">
        <v>160000</v>
      </c>
      <c r="G125" s="315">
        <v>44742</v>
      </c>
      <c r="H125" s="310"/>
      <c r="I125" s="290"/>
      <c r="J125" s="289"/>
    </row>
    <row r="126" spans="1:10" x14ac:dyDescent="0.35">
      <c r="A126" s="314"/>
      <c r="B126" s="313"/>
      <c r="C126" s="312"/>
      <c r="D126" s="312" t="s">
        <v>405</v>
      </c>
      <c r="E126" s="293">
        <v>8.36</v>
      </c>
      <c r="F126" s="311">
        <f>F125</f>
        <v>160000</v>
      </c>
      <c r="G126" s="292"/>
      <c r="H126" s="310"/>
      <c r="I126" s="290"/>
      <c r="J126" s="289"/>
    </row>
    <row r="127" spans="1:10" ht="29" x14ac:dyDescent="0.35">
      <c r="A127" s="309"/>
      <c r="B127" s="308"/>
      <c r="C127" s="307"/>
      <c r="D127" s="306" t="s">
        <v>403</v>
      </c>
      <c r="E127" s="306">
        <v>15.75</v>
      </c>
      <c r="F127" s="305"/>
      <c r="G127" s="305"/>
      <c r="H127" s="304"/>
      <c r="I127" s="290"/>
      <c r="J127" s="289"/>
    </row>
    <row r="128" spans="1:10" x14ac:dyDescent="0.35">
      <c r="A128" s="303">
        <v>27</v>
      </c>
      <c r="B128" s="302" t="s">
        <v>257</v>
      </c>
      <c r="C128" s="301" t="s">
        <v>407</v>
      </c>
      <c r="D128" s="300" t="s">
        <v>406</v>
      </c>
      <c r="E128" s="299">
        <v>7.39</v>
      </c>
      <c r="F128" s="298" t="s">
        <v>404</v>
      </c>
      <c r="G128" s="297">
        <v>45016</v>
      </c>
      <c r="H128" s="291"/>
      <c r="I128" s="290"/>
      <c r="J128" s="289"/>
    </row>
    <row r="129" spans="1:10" x14ac:dyDescent="0.35">
      <c r="A129" s="296"/>
      <c r="B129" s="295"/>
      <c r="C129" s="294"/>
      <c r="D129" s="294" t="s">
        <v>405</v>
      </c>
      <c r="E129" s="293">
        <v>8.44</v>
      </c>
      <c r="F129" s="292" t="s">
        <v>404</v>
      </c>
      <c r="G129" s="292"/>
      <c r="H129" s="291"/>
      <c r="I129" s="290"/>
      <c r="J129" s="289"/>
    </row>
    <row r="130" spans="1:10" ht="29.5" thickBot="1" x14ac:dyDescent="0.4">
      <c r="A130" s="288"/>
      <c r="B130" s="287"/>
      <c r="C130" s="286"/>
      <c r="D130" s="285" t="s">
        <v>403</v>
      </c>
      <c r="E130" s="285">
        <v>15.829999999999998</v>
      </c>
      <c r="F130" s="284"/>
      <c r="G130" s="284"/>
      <c r="H130" s="283"/>
      <c r="I130" s="282"/>
      <c r="J130" s="281"/>
    </row>
    <row r="133" spans="1:10" x14ac:dyDescent="0.35">
      <c r="C133" s="280"/>
      <c r="D133" s="274" t="s">
        <v>402</v>
      </c>
    </row>
    <row r="134" spans="1:10" x14ac:dyDescent="0.35">
      <c r="C134" s="279"/>
      <c r="D134" s="274" t="s">
        <v>401</v>
      </c>
    </row>
    <row r="135" spans="1:10" x14ac:dyDescent="0.35">
      <c r="C135" s="278"/>
      <c r="D135" s="274" t="s">
        <v>400</v>
      </c>
    </row>
    <row r="136" spans="1:10" x14ac:dyDescent="0.35">
      <c r="C136" s="277"/>
      <c r="D136" s="274" t="s">
        <v>399</v>
      </c>
    </row>
  </sheetData>
  <mergeCells count="6">
    <mergeCell ref="H110:H111"/>
    <mergeCell ref="H113:H114"/>
    <mergeCell ref="A3:H3"/>
    <mergeCell ref="A4:H4"/>
    <mergeCell ref="H75:H78"/>
    <mergeCell ref="H37:H39"/>
  </mergeCell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  <pageSetUpPr fitToPage="1"/>
  </sheetPr>
  <dimension ref="A1:O31"/>
  <sheetViews>
    <sheetView workbookViewId="0">
      <selection activeCell="K28" sqref="K28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377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/>
    </row>
    <row r="3" spans="1:15" ht="46.5" thickBot="1" x14ac:dyDescent="0.4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376</v>
      </c>
    </row>
    <row r="4" spans="1:15" ht="16.5" thickTop="1" thickBot="1" x14ac:dyDescent="0.4">
      <c r="A4" s="134" t="s">
        <v>200</v>
      </c>
      <c r="B4" s="137">
        <f ca="1">OCCUPANCY!J170</f>
        <v>65606.26286037924</v>
      </c>
      <c r="C4" s="137">
        <f ca="1">B4</f>
        <v>65606.26286037924</v>
      </c>
      <c r="D4" s="137">
        <f t="shared" ref="D4:O4" ca="1" si="0">C4</f>
        <v>65606.26286037924</v>
      </c>
      <c r="E4" s="137">
        <f t="shared" ca="1" si="0"/>
        <v>65606.26286037924</v>
      </c>
      <c r="F4" s="137">
        <f t="shared" ca="1" si="0"/>
        <v>65606.26286037924</v>
      </c>
      <c r="G4" s="137">
        <f t="shared" ca="1" si="0"/>
        <v>65606.26286037924</v>
      </c>
      <c r="H4" s="137">
        <f t="shared" ca="1" si="0"/>
        <v>65606.26286037924</v>
      </c>
      <c r="I4" s="137">
        <f t="shared" ca="1" si="0"/>
        <v>65606.26286037924</v>
      </c>
      <c r="J4" s="137">
        <f t="shared" ca="1" si="0"/>
        <v>65606.26286037924</v>
      </c>
      <c r="K4" s="137">
        <f t="shared" ca="1" si="0"/>
        <v>65606.26286037924</v>
      </c>
      <c r="L4" s="137">
        <f t="shared" ca="1" si="0"/>
        <v>65606.26286037924</v>
      </c>
      <c r="M4" s="137">
        <f t="shared" ca="1" si="0"/>
        <v>65606.26286037924</v>
      </c>
      <c r="N4" s="137">
        <f t="shared" ca="1" si="0"/>
        <v>65606.26286037924</v>
      </c>
      <c r="O4" s="137">
        <f t="shared" ca="1" si="0"/>
        <v>65606.26286037924</v>
      </c>
    </row>
    <row r="5" spans="1:15" ht="31.5" thickBot="1" x14ac:dyDescent="0.4">
      <c r="A5" s="135" t="s">
        <v>201</v>
      </c>
      <c r="B5" s="138">
        <v>53866.392860379245</v>
      </c>
      <c r="C5" s="138">
        <f t="shared" ref="C5:O5" ca="1" si="1">C4-C6</f>
        <v>53163.08286037924</v>
      </c>
      <c r="D5" s="138">
        <f t="shared" ca="1" si="1"/>
        <v>53163.08286037924</v>
      </c>
      <c r="E5" s="138">
        <f t="shared" ca="1" si="1"/>
        <v>53163.08286037924</v>
      </c>
      <c r="F5" s="138">
        <f t="shared" ca="1" si="1"/>
        <v>53163.08286037924</v>
      </c>
      <c r="G5" s="138">
        <f t="shared" ca="1" si="1"/>
        <v>53163.08286037924</v>
      </c>
      <c r="H5" s="138">
        <f t="shared" ca="1" si="1"/>
        <v>53163.08286037924</v>
      </c>
      <c r="I5" s="138">
        <f t="shared" ca="1" si="1"/>
        <v>52456.982860379241</v>
      </c>
      <c r="J5" s="138">
        <f t="shared" ca="1" si="1"/>
        <v>52456.982860379241</v>
      </c>
      <c r="K5" s="138">
        <f t="shared" ca="1" si="1"/>
        <v>52456.982860379241</v>
      </c>
      <c r="L5" s="138">
        <f t="shared" ca="1" si="1"/>
        <v>51770.302860379241</v>
      </c>
      <c r="M5" s="138">
        <f t="shared" ca="1" si="1"/>
        <v>51770.302860379241</v>
      </c>
      <c r="N5" s="138">
        <f t="shared" ca="1" si="1"/>
        <v>50506.802860379241</v>
      </c>
      <c r="O5" s="138">
        <f t="shared" ca="1" si="1"/>
        <v>50506.802860379241</v>
      </c>
    </row>
    <row r="6" spans="1:15" ht="31.5" thickBot="1" x14ac:dyDescent="0.4">
      <c r="A6" s="136" t="s">
        <v>202</v>
      </c>
      <c r="B6" s="616">
        <v>11739.87</v>
      </c>
      <c r="C6" s="139">
        <f t="shared" ref="C6:O6" si="2">B6+SUM(C9:C11)</f>
        <v>12443.18</v>
      </c>
      <c r="D6" s="139">
        <f t="shared" si="2"/>
        <v>12443.18</v>
      </c>
      <c r="E6" s="139">
        <f t="shared" si="2"/>
        <v>12443.18</v>
      </c>
      <c r="F6" s="139">
        <f t="shared" si="2"/>
        <v>12443.18</v>
      </c>
      <c r="G6" s="139">
        <f t="shared" si="2"/>
        <v>12443.18</v>
      </c>
      <c r="H6" s="139">
        <f t="shared" si="2"/>
        <v>12443.18</v>
      </c>
      <c r="I6" s="139">
        <f t="shared" si="2"/>
        <v>13149.28</v>
      </c>
      <c r="J6" s="139">
        <f t="shared" si="2"/>
        <v>13149.28</v>
      </c>
      <c r="K6" s="139">
        <f t="shared" si="2"/>
        <v>13149.28</v>
      </c>
      <c r="L6" s="139">
        <f t="shared" si="2"/>
        <v>13835.960000000001</v>
      </c>
      <c r="M6" s="139">
        <f t="shared" si="2"/>
        <v>13835.960000000001</v>
      </c>
      <c r="N6" s="139">
        <f t="shared" si="2"/>
        <v>15099.460000000001</v>
      </c>
      <c r="O6" s="139">
        <f t="shared" si="2"/>
        <v>15099.460000000001</v>
      </c>
    </row>
    <row r="7" spans="1:15" ht="16" thickBot="1" x14ac:dyDescent="0.4">
      <c r="A7" s="135" t="s">
        <v>203</v>
      </c>
      <c r="B7" s="140">
        <v>0.82105565096758615</v>
      </c>
      <c r="C7" s="140">
        <f t="shared" ref="C7:O7" ca="1" si="3">C5/C4*100%</f>
        <v>0.81033548540204003</v>
      </c>
      <c r="D7" s="140">
        <f t="shared" ca="1" si="3"/>
        <v>0.81033548540204003</v>
      </c>
      <c r="E7" s="140">
        <f t="shared" ca="1" si="3"/>
        <v>0.81033548540204003</v>
      </c>
      <c r="F7" s="140">
        <f t="shared" ca="1" si="3"/>
        <v>0.81033548540204003</v>
      </c>
      <c r="G7" s="140">
        <f t="shared" ca="1" si="3"/>
        <v>0.81033548540204003</v>
      </c>
      <c r="H7" s="140">
        <f t="shared" ca="1" si="3"/>
        <v>0.81033548540204003</v>
      </c>
      <c r="I7" s="140">
        <f t="shared" ca="1" si="3"/>
        <v>0.79957279340870557</v>
      </c>
      <c r="J7" s="140">
        <f t="shared" ca="1" si="3"/>
        <v>0.79957279340870557</v>
      </c>
      <c r="K7" s="140">
        <f t="shared" ca="1" si="3"/>
        <v>0.79957279340870557</v>
      </c>
      <c r="L7" s="140">
        <f t="shared" ca="1" si="3"/>
        <v>0.78910610974069406</v>
      </c>
      <c r="M7" s="140">
        <f t="shared" ca="1" si="3"/>
        <v>0.78910610974069406</v>
      </c>
      <c r="N7" s="140">
        <f t="shared" ca="1" si="3"/>
        <v>0.76984727765801719</v>
      </c>
      <c r="O7" s="140">
        <f t="shared" ca="1" si="3"/>
        <v>0.76984727765801719</v>
      </c>
    </row>
    <row r="9" spans="1:15" x14ac:dyDescent="0.35">
      <c r="A9" s="743" t="s">
        <v>322</v>
      </c>
      <c r="B9" s="141"/>
      <c r="C9" s="141">
        <v>703.31</v>
      </c>
      <c r="D9" s="141"/>
      <c r="E9" s="141"/>
      <c r="F9" s="141"/>
      <c r="G9" s="141"/>
      <c r="H9" s="141"/>
      <c r="I9" s="141"/>
      <c r="J9" s="141"/>
      <c r="K9" s="141"/>
      <c r="L9" s="141">
        <v>357.61</v>
      </c>
      <c r="M9" s="141"/>
      <c r="N9" s="141">
        <v>1263.5</v>
      </c>
      <c r="O9" s="141"/>
    </row>
    <row r="10" spans="1:15" x14ac:dyDescent="0.35">
      <c r="A10" s="744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>
        <v>329.07</v>
      </c>
      <c r="M10" s="141"/>
      <c r="N10" s="141"/>
      <c r="O10" s="141"/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35">
      <c r="A12" s="739" t="s">
        <v>204</v>
      </c>
      <c r="B12" s="142"/>
      <c r="C12" s="227" t="s">
        <v>602</v>
      </c>
      <c r="D12" s="192"/>
      <c r="E12" s="227"/>
      <c r="F12" s="227" t="s">
        <v>346</v>
      </c>
      <c r="G12" s="192" t="s">
        <v>356</v>
      </c>
      <c r="H12" s="240"/>
      <c r="I12" s="192" t="s">
        <v>602</v>
      </c>
      <c r="J12" s="142" t="s">
        <v>355</v>
      </c>
      <c r="K12" s="142"/>
      <c r="L12" s="192" t="s">
        <v>327</v>
      </c>
      <c r="M12" s="192" t="s">
        <v>354</v>
      </c>
      <c r="N12" s="227" t="s">
        <v>152</v>
      </c>
      <c r="O12" s="142"/>
    </row>
    <row r="13" spans="1:15" x14ac:dyDescent="0.35">
      <c r="A13" s="740"/>
      <c r="B13" s="142"/>
      <c r="C13" s="227"/>
      <c r="D13" s="227"/>
      <c r="E13" s="227"/>
      <c r="F13" s="142"/>
      <c r="G13" s="192" t="s">
        <v>342</v>
      </c>
      <c r="H13" s="192"/>
      <c r="I13" s="142" t="s">
        <v>216</v>
      </c>
      <c r="J13" s="142"/>
      <c r="K13" s="142"/>
      <c r="L13" s="142" t="s">
        <v>605</v>
      </c>
      <c r="M13" s="227"/>
      <c r="N13" s="227"/>
      <c r="O13" s="142"/>
    </row>
    <row r="14" spans="1:15" x14ac:dyDescent="0.35">
      <c r="A14" s="741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35">
      <c r="N15" t="s">
        <v>220</v>
      </c>
      <c r="O15">
        <f>SUM(C9:N11)</f>
        <v>3359.59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376</v>
      </c>
    </row>
    <row r="18" spans="1:15" ht="16.5" thickTop="1" thickBot="1" x14ac:dyDescent="0.4">
      <c r="A18" s="134" t="s">
        <v>200</v>
      </c>
      <c r="B18" s="137">
        <f ca="1">B4</f>
        <v>65606.26286037924</v>
      </c>
      <c r="C18" s="137">
        <f ca="1">C4</f>
        <v>65606.26286037924</v>
      </c>
      <c r="D18" s="137">
        <f t="shared" ref="D18:O18" ca="1" si="4">D4</f>
        <v>65606.26286037924</v>
      </c>
      <c r="E18" s="137">
        <f t="shared" ca="1" si="4"/>
        <v>65606.26286037924</v>
      </c>
      <c r="F18" s="137">
        <f t="shared" ca="1" si="4"/>
        <v>65606.26286037924</v>
      </c>
      <c r="G18" s="137">
        <f t="shared" ca="1" si="4"/>
        <v>65606.26286037924</v>
      </c>
      <c r="H18" s="137">
        <f t="shared" ca="1" si="4"/>
        <v>65606.26286037924</v>
      </c>
      <c r="I18" s="137">
        <f t="shared" ca="1" si="4"/>
        <v>65606.26286037924</v>
      </c>
      <c r="J18" s="137">
        <f t="shared" ca="1" si="4"/>
        <v>65606.26286037924</v>
      </c>
      <c r="K18" s="137">
        <f t="shared" ca="1" si="4"/>
        <v>65606.26286037924</v>
      </c>
      <c r="L18" s="137">
        <f t="shared" ca="1" si="4"/>
        <v>65606.26286037924</v>
      </c>
      <c r="M18" s="137">
        <f t="shared" ca="1" si="4"/>
        <v>65606.26286037924</v>
      </c>
      <c r="N18" s="137">
        <f t="shared" ca="1" si="4"/>
        <v>65606.26286037924</v>
      </c>
      <c r="O18" s="137">
        <f t="shared" ca="1" si="4"/>
        <v>65606.26286037924</v>
      </c>
    </row>
    <row r="19" spans="1:15" ht="31.5" thickBot="1" x14ac:dyDescent="0.4">
      <c r="A19" s="135" t="s">
        <v>201</v>
      </c>
      <c r="B19" s="617">
        <f>B5</f>
        <v>53866.392860379245</v>
      </c>
      <c r="C19" s="138">
        <f t="shared" ref="C19:O19" ca="1" si="5">C18-C20</f>
        <v>53364.472860379239</v>
      </c>
      <c r="D19" s="138">
        <f t="shared" ca="1" si="5"/>
        <v>53364.472860379239</v>
      </c>
      <c r="E19" s="138">
        <f t="shared" ca="1" si="5"/>
        <v>53364.472860379239</v>
      </c>
      <c r="F19" s="138">
        <f t="shared" ca="1" si="5"/>
        <v>53502.182860379238</v>
      </c>
      <c r="G19" s="138">
        <f t="shared" ca="1" si="5"/>
        <v>53502.182860379238</v>
      </c>
      <c r="H19" s="138">
        <f t="shared" ca="1" si="5"/>
        <v>53502.182860379238</v>
      </c>
      <c r="I19" s="138">
        <f t="shared" ca="1" si="5"/>
        <v>52796.08286037924</v>
      </c>
      <c r="J19" s="138">
        <f t="shared" ca="1" si="5"/>
        <v>53639.852860379237</v>
      </c>
      <c r="K19" s="138">
        <f t="shared" ca="1" si="5"/>
        <v>53639.852860379237</v>
      </c>
      <c r="L19" s="138">
        <f t="shared" ca="1" si="5"/>
        <v>52953.172860379236</v>
      </c>
      <c r="M19" s="138">
        <f t="shared" ca="1" si="5"/>
        <v>53282.242860379236</v>
      </c>
      <c r="N19" s="138">
        <f t="shared" ca="1" si="5"/>
        <v>52018.742860379236</v>
      </c>
      <c r="O19" s="138">
        <f t="shared" ca="1" si="5"/>
        <v>52018.742860379236</v>
      </c>
    </row>
    <row r="20" spans="1:15" ht="31.5" thickBot="1" x14ac:dyDescent="0.4">
      <c r="A20" s="136" t="s">
        <v>202</v>
      </c>
      <c r="B20" s="616">
        <f>B6</f>
        <v>11739.87</v>
      </c>
      <c r="C20" s="139">
        <f t="shared" ref="C20:O20" si="6">B20+SUM(C9:C11)-SUM(C23:C25)</f>
        <v>12241.79</v>
      </c>
      <c r="D20" s="139">
        <f t="shared" si="6"/>
        <v>12241.79</v>
      </c>
      <c r="E20" s="139">
        <f t="shared" si="6"/>
        <v>12241.79</v>
      </c>
      <c r="F20" s="139">
        <f t="shared" si="6"/>
        <v>12104.080000000002</v>
      </c>
      <c r="G20" s="139">
        <f t="shared" si="6"/>
        <v>12104.080000000002</v>
      </c>
      <c r="H20" s="139">
        <f t="shared" si="6"/>
        <v>12104.080000000002</v>
      </c>
      <c r="I20" s="139">
        <f t="shared" si="6"/>
        <v>12810.180000000002</v>
      </c>
      <c r="J20" s="139">
        <f t="shared" si="6"/>
        <v>11966.410000000002</v>
      </c>
      <c r="K20" s="139">
        <f t="shared" si="6"/>
        <v>11966.410000000002</v>
      </c>
      <c r="L20" s="139">
        <f t="shared" si="6"/>
        <v>12653.090000000002</v>
      </c>
      <c r="M20" s="139">
        <f t="shared" si="6"/>
        <v>12324.020000000002</v>
      </c>
      <c r="N20" s="139">
        <f t="shared" si="6"/>
        <v>13587.520000000002</v>
      </c>
      <c r="O20" s="139">
        <f t="shared" si="6"/>
        <v>13587.520000000002</v>
      </c>
    </row>
    <row r="21" spans="1:15" ht="19" thickBot="1" x14ac:dyDescent="0.4">
      <c r="A21" s="135" t="s">
        <v>203</v>
      </c>
      <c r="B21" s="140">
        <f>B7</f>
        <v>0.82105565096758615</v>
      </c>
      <c r="C21" s="140">
        <f t="shared" ref="C21:O21" ca="1" si="7">C19/C18*100%</f>
        <v>0.81340516185089651</v>
      </c>
      <c r="D21" s="140">
        <f t="shared" ca="1" si="7"/>
        <v>0.81340516185089651</v>
      </c>
      <c r="E21" s="140">
        <f t="shared" ca="1" si="7"/>
        <v>0.81340516185089651</v>
      </c>
      <c r="F21" s="140">
        <f t="shared" ca="1" si="7"/>
        <v>0.81550419925976514</v>
      </c>
      <c r="G21" s="140">
        <f t="shared" ca="1" si="7"/>
        <v>0.81550419925976514</v>
      </c>
      <c r="H21" s="140">
        <f t="shared" ca="1" si="7"/>
        <v>0.81550419925976514</v>
      </c>
      <c r="I21" s="140">
        <f t="shared" ca="1" si="7"/>
        <v>0.80474150726643068</v>
      </c>
      <c r="J21" s="140">
        <f t="shared" ca="1" si="7"/>
        <v>0.81760262697074415</v>
      </c>
      <c r="K21" s="140">
        <f t="shared" ca="1" si="7"/>
        <v>0.81760262697074415</v>
      </c>
      <c r="L21" s="140">
        <f t="shared" ca="1" si="7"/>
        <v>0.80713594330273275</v>
      </c>
      <c r="M21" s="140">
        <f t="shared" ca="1" si="7"/>
        <v>0.81215177541468087</v>
      </c>
      <c r="N21" s="194">
        <f t="shared" ca="1" si="7"/>
        <v>0.792892943332004</v>
      </c>
      <c r="O21" s="140">
        <f t="shared" ca="1" si="7"/>
        <v>0.792892943332004</v>
      </c>
    </row>
    <row r="23" spans="1:15" x14ac:dyDescent="0.35">
      <c r="A23" s="746" t="s">
        <v>323</v>
      </c>
      <c r="B23" s="141"/>
      <c r="C23" s="141">
        <v>201.39</v>
      </c>
      <c r="D23" s="141"/>
      <c r="E23" s="141"/>
      <c r="F23" s="141">
        <v>137.71</v>
      </c>
      <c r="G23" s="141"/>
      <c r="H23" s="141"/>
      <c r="I23" s="141"/>
      <c r="J23" s="141">
        <v>706.1</v>
      </c>
      <c r="K23" s="141"/>
      <c r="L23" s="141"/>
      <c r="M23" s="141">
        <v>329.07</v>
      </c>
      <c r="N23" s="141"/>
      <c r="O23" s="141"/>
    </row>
    <row r="24" spans="1:15" x14ac:dyDescent="0.35">
      <c r="A24" s="747"/>
      <c r="B24" s="141"/>
      <c r="C24" s="141"/>
      <c r="D24" s="141"/>
      <c r="E24" s="141"/>
      <c r="F24" s="141"/>
      <c r="G24" s="141"/>
      <c r="H24" s="141"/>
      <c r="I24" s="141"/>
      <c r="J24" s="141">
        <v>137.66999999999999</v>
      </c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 t="s">
        <v>602</v>
      </c>
      <c r="D26" s="142"/>
      <c r="E26" s="142"/>
      <c r="F26" s="142" t="s">
        <v>606</v>
      </c>
      <c r="G26" s="142"/>
      <c r="H26" s="142"/>
      <c r="I26" s="142"/>
      <c r="J26" s="142" t="s">
        <v>605</v>
      </c>
      <c r="K26" s="199"/>
      <c r="L26" s="198" t="s">
        <v>378</v>
      </c>
      <c r="M26" s="198" t="s">
        <v>616</v>
      </c>
      <c r="N26" s="142"/>
      <c r="O26" s="142"/>
    </row>
    <row r="27" spans="1:15" x14ac:dyDescent="0.35">
      <c r="A27" s="740"/>
      <c r="B27" s="142"/>
      <c r="C27" s="142"/>
      <c r="D27" s="142"/>
      <c r="E27" s="142"/>
      <c r="F27" s="142"/>
      <c r="G27" s="142"/>
      <c r="H27" s="142"/>
      <c r="I27" s="142"/>
      <c r="J27" t="s">
        <v>607</v>
      </c>
      <c r="K27" s="200"/>
      <c r="L27" s="142"/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1511.94</v>
      </c>
    </row>
    <row r="31" spans="1:15" x14ac:dyDescent="0.35">
      <c r="N31" s="237" t="s">
        <v>336</v>
      </c>
      <c r="O31" s="238">
        <f ca="1">AVERAGE(B21:N21)</f>
        <v>0.81230085827360832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  <pageSetUpPr fitToPage="1"/>
  </sheetPr>
  <dimension ref="A1:O31"/>
  <sheetViews>
    <sheetView zoomScale="172" workbookViewId="0">
      <selection activeCell="C5" sqref="C5"/>
    </sheetView>
  </sheetViews>
  <sheetFormatPr defaultColWidth="11.453125" defaultRowHeight="14.5" x14ac:dyDescent="0.35"/>
  <cols>
    <col min="1" max="1" width="13" customWidth="1"/>
    <col min="2" max="2" width="11.6328125" bestFit="1" customWidth="1"/>
    <col min="5" max="5" width="14" customWidth="1"/>
    <col min="9" max="9" width="12.453125" customWidth="1"/>
    <col min="10" max="10" width="12.6328125" customWidth="1"/>
    <col min="15" max="15" width="12" customWidth="1"/>
  </cols>
  <sheetData>
    <row r="1" spans="1:15" ht="28.5" x14ac:dyDescent="0.65">
      <c r="F1" s="738" t="s">
        <v>388</v>
      </c>
      <c r="G1" s="738"/>
      <c r="H1" s="738"/>
      <c r="I1" s="738"/>
    </row>
    <row r="2" spans="1:15" ht="30" customHeight="1" thickBot="1" x14ac:dyDescent="0.4">
      <c r="A2" s="742" t="s">
        <v>212</v>
      </c>
      <c r="B2" s="742"/>
      <c r="N2" t="s">
        <v>234</v>
      </c>
      <c r="O2" s="193"/>
    </row>
    <row r="3" spans="1:15" ht="46.5" thickBot="1" x14ac:dyDescent="0.4">
      <c r="A3" s="132"/>
      <c r="B3" s="133">
        <v>2022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387</v>
      </c>
    </row>
    <row r="4" spans="1:15" ht="16.5" thickTop="1" thickBot="1" x14ac:dyDescent="0.4">
      <c r="A4" s="134" t="s">
        <v>200</v>
      </c>
      <c r="B4" s="137">
        <v>65606.26286037924</v>
      </c>
      <c r="C4" s="137">
        <v>65606.26286037924</v>
      </c>
      <c r="D4" s="137">
        <v>65606.26286037924</v>
      </c>
      <c r="E4" s="137">
        <v>65606.26286037924</v>
      </c>
      <c r="F4" s="137">
        <v>65606.26286037924</v>
      </c>
      <c r="G4" s="137">
        <v>65606.26286037924</v>
      </c>
      <c r="H4" s="137">
        <v>65606.26286037924</v>
      </c>
      <c r="I4" s="137">
        <v>65606.26286037924</v>
      </c>
      <c r="J4" s="137">
        <v>65606.26286037924</v>
      </c>
      <c r="K4" s="137">
        <v>65606.26286037924</v>
      </c>
      <c r="L4" s="137">
        <v>65606.26286037924</v>
      </c>
      <c r="M4" s="137">
        <v>65606.26286037924</v>
      </c>
      <c r="N4" s="137">
        <v>65606.26286037924</v>
      </c>
      <c r="O4" s="137">
        <v>65606.26286037924</v>
      </c>
    </row>
    <row r="5" spans="1:15" ht="31.5" thickBot="1" x14ac:dyDescent="0.4">
      <c r="A5" s="135" t="s">
        <v>201</v>
      </c>
      <c r="B5" s="138">
        <v>52018.742860379236</v>
      </c>
      <c r="C5" s="138">
        <f>C4-C6</f>
        <v>50355.072860379238</v>
      </c>
      <c r="D5" s="138">
        <f t="shared" ref="D5:O5" si="0">D4-D6</f>
        <v>50355.072860379238</v>
      </c>
      <c r="E5" s="138">
        <f t="shared" si="0"/>
        <v>48807.392860379237</v>
      </c>
      <c r="F5" s="138">
        <f t="shared" si="0"/>
        <v>48807.392860379237</v>
      </c>
      <c r="G5" s="138">
        <f t="shared" si="0"/>
        <v>48807.392860379237</v>
      </c>
      <c r="H5" s="138">
        <f t="shared" si="0"/>
        <v>48807.392860379237</v>
      </c>
      <c r="I5" s="138">
        <f t="shared" si="0"/>
        <v>48807.392860379237</v>
      </c>
      <c r="J5" s="138">
        <f t="shared" si="0"/>
        <v>48807.392860379237</v>
      </c>
      <c r="K5" s="138">
        <f t="shared" si="0"/>
        <v>48671.412860379234</v>
      </c>
      <c r="L5" s="138">
        <f t="shared" si="0"/>
        <v>48671.412860379234</v>
      </c>
      <c r="M5" s="138">
        <f t="shared" si="0"/>
        <v>48671.412860379234</v>
      </c>
      <c r="N5" s="138">
        <f t="shared" si="0"/>
        <v>48671.412860379234</v>
      </c>
      <c r="O5" s="138">
        <f t="shared" si="0"/>
        <v>48671.412860379234</v>
      </c>
    </row>
    <row r="6" spans="1:15" ht="31.5" thickBot="1" x14ac:dyDescent="0.4">
      <c r="A6" s="136" t="s">
        <v>202</v>
      </c>
      <c r="B6" s="139">
        <v>13587.520000000002</v>
      </c>
      <c r="C6" s="139">
        <f>B6+SUM(C9:C11)</f>
        <v>15251.190000000002</v>
      </c>
      <c r="D6" s="139">
        <f t="shared" ref="D6:O6" si="1">C6+SUM(D9:D11)</f>
        <v>15251.190000000002</v>
      </c>
      <c r="E6" s="139">
        <f t="shared" si="1"/>
        <v>16798.870000000003</v>
      </c>
      <c r="F6" s="139">
        <f t="shared" si="1"/>
        <v>16798.870000000003</v>
      </c>
      <c r="G6" s="139">
        <f t="shared" si="1"/>
        <v>16798.870000000003</v>
      </c>
      <c r="H6" s="139">
        <f t="shared" si="1"/>
        <v>16798.870000000003</v>
      </c>
      <c r="I6" s="139">
        <f t="shared" si="1"/>
        <v>16798.870000000003</v>
      </c>
      <c r="J6" s="139">
        <f t="shared" si="1"/>
        <v>16798.870000000003</v>
      </c>
      <c r="K6" s="139">
        <f t="shared" si="1"/>
        <v>16934.850000000002</v>
      </c>
      <c r="L6" s="139">
        <f t="shared" si="1"/>
        <v>16934.850000000002</v>
      </c>
      <c r="M6" s="139">
        <f t="shared" si="1"/>
        <v>16934.850000000002</v>
      </c>
      <c r="N6" s="139">
        <f t="shared" si="1"/>
        <v>16934.850000000002</v>
      </c>
      <c r="O6" s="139">
        <f t="shared" si="1"/>
        <v>16934.850000000002</v>
      </c>
    </row>
    <row r="7" spans="1:15" ht="16" thickBot="1" x14ac:dyDescent="0.4">
      <c r="A7" s="135" t="s">
        <v>203</v>
      </c>
      <c r="B7" s="140">
        <v>0.792892943332004</v>
      </c>
      <c r="C7" s="140">
        <f t="shared" ref="C7:O7" si="2">C5/C4*100%</f>
        <v>0.76753454113889996</v>
      </c>
      <c r="D7" s="140">
        <f t="shared" si="2"/>
        <v>0.76753454113889996</v>
      </c>
      <c r="E7" s="140">
        <f t="shared" si="2"/>
        <v>0.74394411040069874</v>
      </c>
      <c r="F7" s="140">
        <f t="shared" si="2"/>
        <v>0.74394411040069874</v>
      </c>
      <c r="G7" s="140">
        <f t="shared" si="2"/>
        <v>0.74394411040069874</v>
      </c>
      <c r="H7" s="140">
        <f t="shared" si="2"/>
        <v>0.74394411040069874</v>
      </c>
      <c r="I7" s="140">
        <f t="shared" si="2"/>
        <v>0.74394411040069874</v>
      </c>
      <c r="J7" s="140">
        <f t="shared" si="2"/>
        <v>0.74394411040069874</v>
      </c>
      <c r="K7" s="140">
        <f t="shared" si="2"/>
        <v>0.74187144242554848</v>
      </c>
      <c r="L7" s="140">
        <f t="shared" si="2"/>
        <v>0.74187144242554848</v>
      </c>
      <c r="M7" s="140">
        <f t="shared" si="2"/>
        <v>0.74187144242554848</v>
      </c>
      <c r="N7" s="140">
        <f t="shared" si="2"/>
        <v>0.74187144242554848</v>
      </c>
      <c r="O7" s="140">
        <f t="shared" si="2"/>
        <v>0.74187144242554848</v>
      </c>
    </row>
    <row r="9" spans="1:15" x14ac:dyDescent="0.35">
      <c r="A9" s="743" t="s">
        <v>322</v>
      </c>
      <c r="B9" s="141"/>
      <c r="C9" s="141">
        <v>1316.77</v>
      </c>
      <c r="D9" s="141"/>
      <c r="E9" s="141">
        <v>1547.68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35">
      <c r="A10" s="744"/>
      <c r="B10" s="141"/>
      <c r="C10" s="141">
        <v>346.9</v>
      </c>
      <c r="D10" s="141"/>
      <c r="E10" s="141"/>
      <c r="F10" s="141"/>
      <c r="G10" s="141"/>
      <c r="H10" s="141"/>
      <c r="I10" s="141"/>
      <c r="J10" s="141"/>
      <c r="K10" s="141">
        <v>135.97999999999999</v>
      </c>
      <c r="L10" s="141"/>
      <c r="M10" s="141"/>
      <c r="N10" s="141"/>
      <c r="O10" s="141"/>
    </row>
    <row r="11" spans="1:15" x14ac:dyDescent="0.35">
      <c r="A11" s="745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35">
      <c r="A12" s="739" t="s">
        <v>204</v>
      </c>
      <c r="B12" s="142"/>
      <c r="C12" s="227" t="s">
        <v>27</v>
      </c>
      <c r="D12" s="192"/>
      <c r="E12" s="227" t="s">
        <v>311</v>
      </c>
      <c r="F12" s="227"/>
      <c r="G12" s="192"/>
      <c r="H12" s="240"/>
      <c r="I12" s="192"/>
      <c r="J12" s="142" t="s">
        <v>151</v>
      </c>
      <c r="K12" s="142" t="s">
        <v>378</v>
      </c>
      <c r="L12" s="192"/>
      <c r="M12" s="192"/>
      <c r="N12" s="227"/>
      <c r="O12" s="142"/>
    </row>
    <row r="13" spans="1:15" x14ac:dyDescent="0.35">
      <c r="A13" s="740"/>
      <c r="B13" s="142"/>
      <c r="C13" s="227" t="s">
        <v>614</v>
      </c>
      <c r="D13" s="227"/>
      <c r="E13" s="227"/>
      <c r="F13" s="142"/>
      <c r="G13" s="192"/>
      <c r="H13" s="192"/>
      <c r="I13" s="142"/>
      <c r="J13" s="142"/>
      <c r="K13" s="142" t="s">
        <v>353</v>
      </c>
      <c r="L13" s="142"/>
      <c r="M13" s="227"/>
      <c r="N13" s="227"/>
      <c r="O13" s="142"/>
    </row>
    <row r="14" spans="1:15" x14ac:dyDescent="0.35">
      <c r="A14" s="741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35">
      <c r="N15" t="s">
        <v>220</v>
      </c>
      <c r="O15">
        <f>SUM(C9:N11)</f>
        <v>3347.33</v>
      </c>
    </row>
    <row r="16" spans="1:15" ht="30" customHeight="1" thickBot="1" x14ac:dyDescent="0.4">
      <c r="A16" s="742" t="s">
        <v>213</v>
      </c>
      <c r="B16" s="742"/>
    </row>
    <row r="17" spans="1:15" ht="46.5" thickBot="1" x14ac:dyDescent="0.4">
      <c r="A17" s="132"/>
      <c r="B17" s="133">
        <v>2022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387</v>
      </c>
    </row>
    <row r="18" spans="1:15" ht="16.5" thickTop="1" thickBot="1" x14ac:dyDescent="0.4">
      <c r="A18" s="134" t="s">
        <v>200</v>
      </c>
      <c r="B18" s="137">
        <v>65606.26286037924</v>
      </c>
      <c r="C18" s="137">
        <f t="shared" ref="C18:O18" si="3">C4</f>
        <v>65606.26286037924</v>
      </c>
      <c r="D18" s="137">
        <f t="shared" si="3"/>
        <v>65606.26286037924</v>
      </c>
      <c r="E18" s="137">
        <f t="shared" si="3"/>
        <v>65606.26286037924</v>
      </c>
      <c r="F18" s="137">
        <f t="shared" si="3"/>
        <v>65606.26286037924</v>
      </c>
      <c r="G18" s="137">
        <f t="shared" si="3"/>
        <v>65606.26286037924</v>
      </c>
      <c r="H18" s="137">
        <f t="shared" si="3"/>
        <v>65606.26286037924</v>
      </c>
      <c r="I18" s="137">
        <f t="shared" si="3"/>
        <v>65606.26286037924</v>
      </c>
      <c r="J18" s="137">
        <f t="shared" si="3"/>
        <v>65606.26286037924</v>
      </c>
      <c r="K18" s="137">
        <f t="shared" si="3"/>
        <v>65606.26286037924</v>
      </c>
      <c r="L18" s="137">
        <f t="shared" si="3"/>
        <v>65606.26286037924</v>
      </c>
      <c r="M18" s="137">
        <f t="shared" si="3"/>
        <v>65606.26286037924</v>
      </c>
      <c r="N18" s="137">
        <f t="shared" si="3"/>
        <v>65606.26286037924</v>
      </c>
      <c r="O18" s="137">
        <f t="shared" si="3"/>
        <v>65606.26286037924</v>
      </c>
    </row>
    <row r="19" spans="1:15" ht="31.5" thickBot="1" x14ac:dyDescent="0.4">
      <c r="A19" s="135" t="s">
        <v>201</v>
      </c>
      <c r="B19" s="179">
        <v>52018.742860379236</v>
      </c>
      <c r="C19" s="138">
        <f t="shared" ref="C19:O19" si="4">C18-C20</f>
        <v>50355.072860379238</v>
      </c>
      <c r="D19" s="138">
        <f t="shared" si="4"/>
        <v>52935.342860379242</v>
      </c>
      <c r="E19" s="138">
        <f t="shared" si="4"/>
        <v>51387.662860379234</v>
      </c>
      <c r="F19" s="138">
        <f t="shared" si="4"/>
        <v>51387.662860379234</v>
      </c>
      <c r="G19" s="138">
        <f t="shared" si="4"/>
        <v>51387.662860379234</v>
      </c>
      <c r="H19" s="138">
        <f t="shared" si="4"/>
        <v>56107.022860379235</v>
      </c>
      <c r="I19" s="138">
        <f t="shared" si="4"/>
        <v>56107.022860379235</v>
      </c>
      <c r="J19" s="138">
        <f t="shared" si="4"/>
        <v>56107.022860379235</v>
      </c>
      <c r="K19" s="138">
        <f t="shared" si="4"/>
        <v>55971.042860379239</v>
      </c>
      <c r="L19" s="138">
        <f t="shared" si="4"/>
        <v>57534.822860379238</v>
      </c>
      <c r="M19" s="138">
        <f t="shared" si="4"/>
        <v>57534.822860379238</v>
      </c>
      <c r="N19" s="138">
        <f t="shared" si="4"/>
        <v>57534.822860379238</v>
      </c>
      <c r="O19" s="138">
        <f t="shared" si="4"/>
        <v>57534.822860379238</v>
      </c>
    </row>
    <row r="20" spans="1:15" ht="31.5" thickBot="1" x14ac:dyDescent="0.4">
      <c r="A20" s="136" t="s">
        <v>202</v>
      </c>
      <c r="B20" s="139">
        <v>13587.520000000002</v>
      </c>
      <c r="C20" s="139">
        <f t="shared" ref="C20:O20" si="5">B20+SUM(C9:C11)-SUM(C23:C25)</f>
        <v>15251.190000000002</v>
      </c>
      <c r="D20" s="139">
        <f t="shared" si="5"/>
        <v>12670.920000000002</v>
      </c>
      <c r="E20" s="139">
        <f t="shared" si="5"/>
        <v>14218.600000000002</v>
      </c>
      <c r="F20" s="139">
        <f t="shared" si="5"/>
        <v>14218.600000000002</v>
      </c>
      <c r="G20" s="139">
        <f t="shared" si="5"/>
        <v>14218.600000000002</v>
      </c>
      <c r="H20" s="139">
        <f t="shared" si="5"/>
        <v>9499.2400000000016</v>
      </c>
      <c r="I20" s="139">
        <f t="shared" si="5"/>
        <v>9499.2400000000016</v>
      </c>
      <c r="J20" s="139">
        <f t="shared" si="5"/>
        <v>9499.2400000000016</v>
      </c>
      <c r="K20" s="139">
        <f t="shared" si="5"/>
        <v>9635.2200000000012</v>
      </c>
      <c r="L20" s="139">
        <f t="shared" si="5"/>
        <v>8071.4400000000014</v>
      </c>
      <c r="M20" s="139">
        <f t="shared" si="5"/>
        <v>8071.4400000000014</v>
      </c>
      <c r="N20" s="139">
        <f t="shared" si="5"/>
        <v>8071.4400000000014</v>
      </c>
      <c r="O20" s="139">
        <f t="shared" si="5"/>
        <v>8071.4400000000014</v>
      </c>
    </row>
    <row r="21" spans="1:15" ht="19" thickBot="1" x14ac:dyDescent="0.4">
      <c r="A21" s="135" t="s">
        <v>203</v>
      </c>
      <c r="B21" s="140">
        <v>0.792892943332004</v>
      </c>
      <c r="C21" s="140">
        <f t="shared" ref="C21:O21" si="6">C19/C18*100%</f>
        <v>0.76753454113889996</v>
      </c>
      <c r="D21" s="140">
        <f t="shared" si="6"/>
        <v>0.806864170468515</v>
      </c>
      <c r="E21" s="140">
        <f t="shared" si="6"/>
        <v>0.78327373973031367</v>
      </c>
      <c r="F21" s="140">
        <f t="shared" si="6"/>
        <v>0.78327373973031367</v>
      </c>
      <c r="G21" s="140">
        <f t="shared" si="6"/>
        <v>0.78327373973031367</v>
      </c>
      <c r="H21" s="140">
        <f t="shared" si="6"/>
        <v>0.85520833551796838</v>
      </c>
      <c r="I21" s="140">
        <f t="shared" si="6"/>
        <v>0.85520833551796838</v>
      </c>
      <c r="J21" s="140">
        <f t="shared" si="6"/>
        <v>0.85520833551796838</v>
      </c>
      <c r="K21" s="140">
        <f t="shared" si="6"/>
        <v>0.85313566754281811</v>
      </c>
      <c r="L21" s="140">
        <f t="shared" si="6"/>
        <v>0.87697150168151883</v>
      </c>
      <c r="M21" s="140">
        <f t="shared" si="6"/>
        <v>0.87697150168151883</v>
      </c>
      <c r="N21" s="194">
        <f t="shared" si="6"/>
        <v>0.87697150168151883</v>
      </c>
      <c r="O21" s="140">
        <f t="shared" si="6"/>
        <v>0.87697150168151883</v>
      </c>
    </row>
    <row r="23" spans="1:15" x14ac:dyDescent="0.35">
      <c r="A23" s="746" t="s">
        <v>323</v>
      </c>
      <c r="B23" s="141"/>
      <c r="C23" s="141"/>
      <c r="D23" s="141">
        <v>1316.77</v>
      </c>
      <c r="E23" s="141"/>
      <c r="F23" s="141"/>
      <c r="G23" s="141"/>
      <c r="H23" s="141">
        <v>1547.71</v>
      </c>
      <c r="I23" s="141"/>
      <c r="J23" s="141"/>
      <c r="K23" s="141"/>
      <c r="L23" s="141">
        <v>1563.78</v>
      </c>
      <c r="M23" s="141"/>
      <c r="N23" s="141"/>
      <c r="O23" s="141"/>
    </row>
    <row r="24" spans="1:15" x14ac:dyDescent="0.35">
      <c r="A24" s="747"/>
      <c r="B24" s="141"/>
      <c r="C24" s="141"/>
      <c r="D24" s="141">
        <v>1263.5</v>
      </c>
      <c r="E24" s="141"/>
      <c r="F24" s="141"/>
      <c r="G24" s="141"/>
      <c r="H24" s="141">
        <v>1547.77</v>
      </c>
      <c r="I24" s="141"/>
      <c r="J24" s="141"/>
      <c r="K24" s="141"/>
      <c r="L24" s="141"/>
      <c r="M24" s="141"/>
      <c r="N24" s="141"/>
      <c r="O24" s="141"/>
    </row>
    <row r="25" spans="1:15" x14ac:dyDescent="0.35">
      <c r="A25" s="748"/>
      <c r="B25" s="141"/>
      <c r="C25" s="141"/>
      <c r="D25" s="141"/>
      <c r="E25" s="141"/>
      <c r="F25" s="141"/>
      <c r="G25" s="141"/>
      <c r="H25" s="141">
        <v>1623.88</v>
      </c>
      <c r="I25" s="141"/>
      <c r="J25" s="141"/>
      <c r="K25" s="141"/>
      <c r="L25" s="141"/>
      <c r="M25" s="141"/>
      <c r="N25" s="141"/>
      <c r="O25" s="141"/>
    </row>
    <row r="26" spans="1:15" x14ac:dyDescent="0.35">
      <c r="A26" s="739" t="s">
        <v>205</v>
      </c>
      <c r="B26" s="142"/>
      <c r="C26" s="142"/>
      <c r="D26" s="142" t="s">
        <v>611</v>
      </c>
      <c r="E26" s="142"/>
      <c r="F26" s="142"/>
      <c r="G26" s="142"/>
      <c r="H26" s="142" t="s">
        <v>390</v>
      </c>
      <c r="I26" s="142"/>
      <c r="J26" s="142"/>
      <c r="K26" s="199"/>
      <c r="L26" s="198" t="s">
        <v>612</v>
      </c>
      <c r="M26" s="198"/>
      <c r="N26" s="142"/>
      <c r="O26" s="142"/>
    </row>
    <row r="27" spans="1:15" x14ac:dyDescent="0.35">
      <c r="A27" s="740"/>
      <c r="B27" s="142"/>
      <c r="C27" s="142"/>
      <c r="D27" s="142" t="s">
        <v>610</v>
      </c>
      <c r="E27" s="142"/>
      <c r="F27" s="142"/>
      <c r="G27" s="142"/>
      <c r="H27" s="142" t="s">
        <v>608</v>
      </c>
      <c r="I27" s="142"/>
      <c r="K27" s="200"/>
      <c r="L27" s="142" t="s">
        <v>613</v>
      </c>
      <c r="M27" s="199"/>
      <c r="N27" s="142"/>
      <c r="O27" s="142"/>
    </row>
    <row r="28" spans="1:15" x14ac:dyDescent="0.35">
      <c r="A28" s="741"/>
      <c r="B28" s="142"/>
      <c r="C28" s="142"/>
      <c r="D28" s="142"/>
      <c r="E28" s="142"/>
      <c r="F28" s="142"/>
      <c r="G28" s="142"/>
      <c r="H28" s="142" t="s">
        <v>609</v>
      </c>
      <c r="I28" s="142"/>
      <c r="J28" s="142"/>
      <c r="K28" s="142"/>
      <c r="L28" s="142"/>
      <c r="M28" s="198"/>
      <c r="N28" s="142"/>
      <c r="O28" s="142"/>
    </row>
    <row r="29" spans="1:15" x14ac:dyDescent="0.35">
      <c r="N29" t="s">
        <v>219</v>
      </c>
      <c r="O29">
        <f>SUM(C23:N25)</f>
        <v>8863.41</v>
      </c>
    </row>
    <row r="31" spans="1:15" x14ac:dyDescent="0.35">
      <c r="N31" s="237" t="s">
        <v>336</v>
      </c>
      <c r="O31" s="238">
        <f>AVERAGE(B21:N21)</f>
        <v>0.82821446563627998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rgb="FFFF66CC"/>
    <pageSetUpPr fitToPage="1"/>
  </sheetPr>
  <dimension ref="A2:X576"/>
  <sheetViews>
    <sheetView topLeftCell="A55" zoomScale="85" zoomScaleNormal="85" zoomScalePageLayoutView="85" workbookViewId="0">
      <selection activeCell="I91" sqref="I91"/>
    </sheetView>
  </sheetViews>
  <sheetFormatPr defaultColWidth="8.6328125" defaultRowHeight="12.5" x14ac:dyDescent="0.25"/>
  <cols>
    <col min="1" max="1" width="8.6328125" style="1"/>
    <col min="2" max="2" width="12.453125" style="2" customWidth="1"/>
    <col min="3" max="3" width="24.1796875" style="1" customWidth="1"/>
    <col min="4" max="4" width="13.6328125" style="2" customWidth="1"/>
    <col min="5" max="5" width="14.453125" style="2" customWidth="1"/>
    <col min="6" max="6" width="23" style="2" customWidth="1"/>
    <col min="7" max="7" width="18.36328125" style="2" customWidth="1"/>
    <col min="8" max="8" width="9.453125" style="1" customWidth="1"/>
    <col min="9" max="9" width="15.6328125" style="3" customWidth="1"/>
    <col min="10" max="10" width="21.453125" style="3" customWidth="1"/>
    <col min="11" max="11" width="17.1796875" style="3" customWidth="1"/>
    <col min="12" max="12" width="15.36328125" style="3" customWidth="1"/>
    <col min="13" max="13" width="19.453125" style="2" customWidth="1"/>
    <col min="14" max="14" width="13.1796875" style="2" customWidth="1"/>
    <col min="15" max="16384" width="8.6328125" style="1"/>
  </cols>
  <sheetData>
    <row r="2" spans="2:11" ht="13" x14ac:dyDescent="0.3">
      <c r="B2" s="7" t="s">
        <v>40</v>
      </c>
      <c r="C2" s="7" t="s">
        <v>39</v>
      </c>
      <c r="D2" s="7" t="s">
        <v>38</v>
      </c>
      <c r="E2" s="7" t="s">
        <v>37</v>
      </c>
      <c r="F2" s="7" t="s">
        <v>36</v>
      </c>
      <c r="G2" s="7" t="s">
        <v>35</v>
      </c>
      <c r="I2" s="3" t="s">
        <v>143</v>
      </c>
      <c r="J2" s="3" t="s">
        <v>102</v>
      </c>
      <c r="K2" s="3" t="s">
        <v>111</v>
      </c>
    </row>
    <row r="3" spans="2:11" x14ac:dyDescent="0.25">
      <c r="B3" s="2" t="s">
        <v>149</v>
      </c>
      <c r="C3" s="1" t="s">
        <v>140</v>
      </c>
      <c r="D3" s="15">
        <v>26.38</v>
      </c>
      <c r="G3" s="8"/>
    </row>
    <row r="4" spans="2:11" x14ac:dyDescent="0.25">
      <c r="B4" s="2" t="s">
        <v>148</v>
      </c>
      <c r="C4" s="1" t="s">
        <v>22</v>
      </c>
      <c r="D4" s="15">
        <v>20.62</v>
      </c>
      <c r="G4" s="8"/>
    </row>
    <row r="5" spans="2:11" x14ac:dyDescent="0.25">
      <c r="C5" s="1" t="s">
        <v>22</v>
      </c>
      <c r="D5" s="15">
        <v>20.62</v>
      </c>
      <c r="G5" s="8"/>
    </row>
    <row r="6" spans="2:11" x14ac:dyDescent="0.25">
      <c r="C6" s="1" t="s">
        <v>22</v>
      </c>
      <c r="D6" s="15">
        <v>7.26</v>
      </c>
      <c r="G6" s="8"/>
    </row>
    <row r="7" spans="2:11" x14ac:dyDescent="0.25">
      <c r="C7" s="1" t="s">
        <v>22</v>
      </c>
      <c r="D7" s="15">
        <v>19.47</v>
      </c>
      <c r="G7" s="8"/>
    </row>
    <row r="8" spans="2:11" x14ac:dyDescent="0.25">
      <c r="C8" s="1" t="s">
        <v>22</v>
      </c>
      <c r="D8" s="15">
        <v>22.28</v>
      </c>
      <c r="G8" s="8"/>
    </row>
    <row r="9" spans="2:11" x14ac:dyDescent="0.25">
      <c r="C9" s="1" t="s">
        <v>22</v>
      </c>
      <c r="D9" s="15">
        <v>22.27</v>
      </c>
      <c r="G9" s="8"/>
    </row>
    <row r="10" spans="2:11" x14ac:dyDescent="0.25">
      <c r="C10" s="1" t="s">
        <v>22</v>
      </c>
      <c r="D10" s="15">
        <v>26.56</v>
      </c>
      <c r="G10" s="8"/>
    </row>
    <row r="11" spans="2:11" x14ac:dyDescent="0.25">
      <c r="G11" s="8"/>
    </row>
    <row r="12" spans="2:11" x14ac:dyDescent="0.25">
      <c r="B12" s="2" t="s">
        <v>17</v>
      </c>
      <c r="D12" s="2">
        <f>SUM(D3:D11)</f>
        <v>165.46</v>
      </c>
      <c r="I12" s="3">
        <f>D3</f>
        <v>26.38</v>
      </c>
      <c r="J12" s="3">
        <f>SUM(D4:D10)</f>
        <v>139.07999999999998</v>
      </c>
      <c r="K12" s="3">
        <f>I12+J12</f>
        <v>165.45999999999998</v>
      </c>
    </row>
    <row r="14" spans="2:11" ht="13" x14ac:dyDescent="0.3">
      <c r="B14" s="7" t="s">
        <v>40</v>
      </c>
      <c r="C14" s="7" t="s">
        <v>39</v>
      </c>
      <c r="D14" s="7" t="s">
        <v>38</v>
      </c>
      <c r="E14" s="7" t="s">
        <v>37</v>
      </c>
      <c r="F14" s="7" t="s">
        <v>36</v>
      </c>
      <c r="G14" s="7" t="s">
        <v>35</v>
      </c>
      <c r="I14" s="3" t="s">
        <v>143</v>
      </c>
      <c r="J14" s="3" t="s">
        <v>102</v>
      </c>
      <c r="K14" s="3" t="s">
        <v>111</v>
      </c>
    </row>
    <row r="15" spans="2:11" x14ac:dyDescent="0.25">
      <c r="B15" s="2" t="s">
        <v>147</v>
      </c>
      <c r="C15" s="1" t="s">
        <v>140</v>
      </c>
      <c r="D15" s="15">
        <v>26.38</v>
      </c>
      <c r="G15" s="8"/>
    </row>
    <row r="16" spans="2:11" x14ac:dyDescent="0.25">
      <c r="B16" s="2" t="s">
        <v>146</v>
      </c>
      <c r="C16" s="1" t="s">
        <v>22</v>
      </c>
      <c r="D16" s="15">
        <v>20.62</v>
      </c>
      <c r="G16" s="8"/>
    </row>
    <row r="17" spans="2:11" x14ac:dyDescent="0.25">
      <c r="C17" s="1" t="s">
        <v>22</v>
      </c>
      <c r="D17" s="15">
        <v>20.62</v>
      </c>
      <c r="G17" s="8"/>
    </row>
    <row r="18" spans="2:11" x14ac:dyDescent="0.25">
      <c r="C18" s="1" t="s">
        <v>22</v>
      </c>
      <c r="D18" s="15">
        <v>7.26</v>
      </c>
      <c r="G18" s="8"/>
    </row>
    <row r="19" spans="2:11" x14ac:dyDescent="0.25">
      <c r="C19" s="1" t="s">
        <v>22</v>
      </c>
      <c r="D19" s="15">
        <v>11.11</v>
      </c>
      <c r="G19" s="8"/>
    </row>
    <row r="20" spans="2:11" x14ac:dyDescent="0.25">
      <c r="C20" s="1" t="s">
        <v>22</v>
      </c>
      <c r="D20" s="15">
        <v>22.28</v>
      </c>
      <c r="G20" s="8"/>
    </row>
    <row r="21" spans="2:11" x14ac:dyDescent="0.25">
      <c r="C21" s="1" t="s">
        <v>22</v>
      </c>
      <c r="D21" s="15">
        <v>22.27</v>
      </c>
      <c r="G21" s="8"/>
    </row>
    <row r="22" spans="2:11" x14ac:dyDescent="0.25">
      <c r="C22" s="1" t="s">
        <v>22</v>
      </c>
      <c r="D22" s="15">
        <v>26.56</v>
      </c>
      <c r="G22" s="8"/>
    </row>
    <row r="23" spans="2:11" x14ac:dyDescent="0.25">
      <c r="G23" s="8"/>
    </row>
    <row r="24" spans="2:11" x14ac:dyDescent="0.25">
      <c r="B24" s="2" t="s">
        <v>17</v>
      </c>
      <c r="D24" s="2">
        <f>SUM(D15:D23)</f>
        <v>157.10000000000002</v>
      </c>
      <c r="I24" s="3">
        <f>D15</f>
        <v>26.38</v>
      </c>
      <c r="J24" s="3">
        <f>SUM(D16:D22)</f>
        <v>130.72</v>
      </c>
      <c r="K24" s="3">
        <f>I24+J24</f>
        <v>157.1</v>
      </c>
    </row>
    <row r="26" spans="2:11" ht="13" x14ac:dyDescent="0.3">
      <c r="B26" s="7" t="s">
        <v>40</v>
      </c>
      <c r="C26" s="7" t="s">
        <v>39</v>
      </c>
      <c r="D26" s="7" t="s">
        <v>38</v>
      </c>
      <c r="E26" s="7" t="s">
        <v>37</v>
      </c>
      <c r="F26" s="7" t="s">
        <v>36</v>
      </c>
      <c r="G26" s="7" t="s">
        <v>35</v>
      </c>
      <c r="I26" s="3" t="s">
        <v>143</v>
      </c>
      <c r="J26" s="3" t="s">
        <v>102</v>
      </c>
      <c r="K26" s="3" t="s">
        <v>111</v>
      </c>
    </row>
    <row r="27" spans="2:11" x14ac:dyDescent="0.25">
      <c r="B27" s="2" t="s">
        <v>145</v>
      </c>
      <c r="C27" s="1" t="s">
        <v>140</v>
      </c>
      <c r="D27" s="15">
        <v>26.38</v>
      </c>
      <c r="G27" s="8"/>
    </row>
    <row r="28" spans="2:11" x14ac:dyDescent="0.25">
      <c r="B28" s="2" t="s">
        <v>144</v>
      </c>
      <c r="C28" s="1" t="s">
        <v>22</v>
      </c>
      <c r="D28" s="15">
        <v>20.62</v>
      </c>
      <c r="G28" s="8"/>
    </row>
    <row r="29" spans="2:11" x14ac:dyDescent="0.25">
      <c r="C29" s="1" t="s">
        <v>22</v>
      </c>
      <c r="D29" s="15">
        <v>20.62</v>
      </c>
      <c r="G29" s="8"/>
    </row>
    <row r="30" spans="2:11" x14ac:dyDescent="0.25">
      <c r="C30" s="1" t="s">
        <v>22</v>
      </c>
      <c r="D30" s="15">
        <v>7.26</v>
      </c>
      <c r="G30" s="8"/>
    </row>
    <row r="31" spans="2:11" x14ac:dyDescent="0.25">
      <c r="C31" s="1" t="s">
        <v>22</v>
      </c>
      <c r="D31" s="15">
        <v>11.11</v>
      </c>
      <c r="G31" s="8"/>
    </row>
    <row r="32" spans="2:11" x14ac:dyDescent="0.25">
      <c r="C32" s="1" t="s">
        <v>22</v>
      </c>
      <c r="D32" s="15">
        <v>22.28</v>
      </c>
      <c r="G32" s="8"/>
    </row>
    <row r="33" spans="2:13" x14ac:dyDescent="0.25">
      <c r="C33" s="1" t="s">
        <v>22</v>
      </c>
      <c r="D33" s="15">
        <v>22.27</v>
      </c>
      <c r="G33" s="8"/>
    </row>
    <row r="34" spans="2:13" x14ac:dyDescent="0.25">
      <c r="C34" s="1" t="s">
        <v>22</v>
      </c>
      <c r="D34" s="15">
        <v>26.56</v>
      </c>
      <c r="G34" s="8"/>
    </row>
    <row r="35" spans="2:13" x14ac:dyDescent="0.25">
      <c r="G35" s="8"/>
    </row>
    <row r="36" spans="2:13" x14ac:dyDescent="0.25">
      <c r="B36" s="2" t="s">
        <v>17</v>
      </c>
      <c r="D36" s="2">
        <f>SUM(D27:D35)</f>
        <v>157.10000000000002</v>
      </c>
      <c r="I36" s="3">
        <f>D27</f>
        <v>26.38</v>
      </c>
      <c r="J36" s="3">
        <f>SUM(D28:D34)</f>
        <v>130.72</v>
      </c>
      <c r="K36" s="3">
        <f>I36+J36</f>
        <v>157.1</v>
      </c>
    </row>
    <row r="38" spans="2:13" ht="13" x14ac:dyDescent="0.3">
      <c r="B38" s="7" t="s">
        <v>40</v>
      </c>
      <c r="C38" s="7" t="s">
        <v>39</v>
      </c>
      <c r="D38" s="7" t="s">
        <v>38</v>
      </c>
      <c r="E38" s="7" t="s">
        <v>37</v>
      </c>
      <c r="F38" s="7" t="s">
        <v>36</v>
      </c>
      <c r="G38" s="7" t="s">
        <v>35</v>
      </c>
      <c r="I38" s="3" t="s">
        <v>138</v>
      </c>
      <c r="J38" s="3" t="s">
        <v>143</v>
      </c>
      <c r="K38" s="3" t="s">
        <v>102</v>
      </c>
      <c r="L38" s="3" t="s">
        <v>111</v>
      </c>
    </row>
    <row r="39" spans="2:13" x14ac:dyDescent="0.25">
      <c r="B39" s="2" t="s">
        <v>142</v>
      </c>
      <c r="C39" s="1" t="s">
        <v>121</v>
      </c>
      <c r="D39" s="15">
        <v>82</v>
      </c>
      <c r="G39" s="8"/>
    </row>
    <row r="40" spans="2:13" x14ac:dyDescent="0.25">
      <c r="B40" s="2" t="s">
        <v>141</v>
      </c>
      <c r="C40" s="1" t="s">
        <v>120</v>
      </c>
      <c r="D40" s="15">
        <v>258.76</v>
      </c>
      <c r="G40" s="8"/>
    </row>
    <row r="41" spans="2:13" x14ac:dyDescent="0.25">
      <c r="C41" s="1" t="s">
        <v>140</v>
      </c>
      <c r="D41" s="15">
        <v>26.38</v>
      </c>
      <c r="G41" s="8"/>
    </row>
    <row r="42" spans="2:13" x14ac:dyDescent="0.25">
      <c r="C42" s="1" t="s">
        <v>22</v>
      </c>
      <c r="D42" s="15">
        <v>26.56</v>
      </c>
      <c r="G42" s="8"/>
    </row>
    <row r="44" spans="2:13" x14ac:dyDescent="0.25">
      <c r="B44" s="2" t="s">
        <v>17</v>
      </c>
      <c r="D44" s="2">
        <f>SUM(D39:D43)</f>
        <v>393.7</v>
      </c>
      <c r="I44" s="3">
        <f>SUM(D39:D40)</f>
        <v>340.76</v>
      </c>
      <c r="J44" s="3">
        <f>D41</f>
        <v>26.38</v>
      </c>
      <c r="K44" s="3">
        <f>D42</f>
        <v>26.56</v>
      </c>
      <c r="L44" s="3">
        <f>I44+J44+K44</f>
        <v>393.7</v>
      </c>
    </row>
    <row r="46" spans="2:13" ht="13" x14ac:dyDescent="0.3">
      <c r="B46" s="7" t="s">
        <v>40</v>
      </c>
      <c r="C46" s="7" t="s">
        <v>39</v>
      </c>
      <c r="D46" s="7" t="s">
        <v>38</v>
      </c>
      <c r="E46" s="7" t="s">
        <v>37</v>
      </c>
      <c r="F46" s="7" t="s">
        <v>36</v>
      </c>
      <c r="G46" s="7" t="s">
        <v>35</v>
      </c>
      <c r="I46" s="3" t="s">
        <v>139</v>
      </c>
      <c r="J46" s="3" t="s">
        <v>138</v>
      </c>
      <c r="K46" s="3" t="s">
        <v>137</v>
      </c>
      <c r="L46" s="3" t="s">
        <v>136</v>
      </c>
      <c r="M46" s="2" t="s">
        <v>111</v>
      </c>
    </row>
    <row r="47" spans="2:13" x14ac:dyDescent="0.25">
      <c r="B47" s="2" t="s">
        <v>135</v>
      </c>
      <c r="C47" s="1" t="s">
        <v>134</v>
      </c>
      <c r="D47" s="15">
        <v>7.4</v>
      </c>
      <c r="G47" s="8"/>
    </row>
    <row r="48" spans="2:13" x14ac:dyDescent="0.25">
      <c r="B48" s="2" t="s">
        <v>133</v>
      </c>
      <c r="C48" s="1" t="s">
        <v>132</v>
      </c>
      <c r="D48" s="15">
        <v>7.9</v>
      </c>
      <c r="G48" s="8"/>
    </row>
    <row r="49" spans="3:7" x14ac:dyDescent="0.25">
      <c r="C49" s="1" t="s">
        <v>131</v>
      </c>
      <c r="D49" s="15">
        <v>7.9</v>
      </c>
      <c r="G49" s="8"/>
    </row>
    <row r="50" spans="3:7" x14ac:dyDescent="0.25">
      <c r="C50" s="1" t="s">
        <v>130</v>
      </c>
      <c r="D50" s="15">
        <v>7.6</v>
      </c>
      <c r="G50" s="8"/>
    </row>
    <row r="51" spans="3:7" x14ac:dyDescent="0.25">
      <c r="C51" s="1" t="s">
        <v>129</v>
      </c>
      <c r="D51" s="15">
        <v>6.9</v>
      </c>
      <c r="G51" s="8"/>
    </row>
    <row r="52" spans="3:7" x14ac:dyDescent="0.25">
      <c r="C52" s="1" t="s">
        <v>128</v>
      </c>
      <c r="D52" s="15">
        <v>7.9</v>
      </c>
      <c r="G52" s="8"/>
    </row>
    <row r="53" spans="3:7" x14ac:dyDescent="0.25">
      <c r="C53" s="1" t="s">
        <v>127</v>
      </c>
      <c r="D53" s="15">
        <v>7.9</v>
      </c>
      <c r="G53" s="8"/>
    </row>
    <row r="54" spans="3:7" x14ac:dyDescent="0.25">
      <c r="C54" s="1" t="s">
        <v>126</v>
      </c>
      <c r="D54" s="15">
        <v>7.4</v>
      </c>
      <c r="G54" s="8"/>
    </row>
    <row r="55" spans="3:7" x14ac:dyDescent="0.25">
      <c r="C55" s="1" t="s">
        <v>125</v>
      </c>
      <c r="D55" s="15">
        <v>7.8</v>
      </c>
      <c r="G55" s="8"/>
    </row>
    <row r="56" spans="3:7" x14ac:dyDescent="0.25">
      <c r="C56" s="1" t="s">
        <v>124</v>
      </c>
      <c r="D56" s="15">
        <v>6.4</v>
      </c>
      <c r="G56" s="8"/>
    </row>
    <row r="57" spans="3:7" x14ac:dyDescent="0.25">
      <c r="C57" s="1" t="s">
        <v>123</v>
      </c>
      <c r="D57" s="15">
        <v>6.4</v>
      </c>
      <c r="G57" s="8"/>
    </row>
    <row r="58" spans="3:7" x14ac:dyDescent="0.25">
      <c r="C58" s="1" t="s">
        <v>122</v>
      </c>
      <c r="D58" s="15">
        <v>6.4</v>
      </c>
      <c r="G58" s="8"/>
    </row>
    <row r="59" spans="3:7" x14ac:dyDescent="0.25">
      <c r="C59" s="1" t="s">
        <v>121</v>
      </c>
      <c r="D59" s="15">
        <v>15.72</v>
      </c>
      <c r="G59" s="8"/>
    </row>
    <row r="60" spans="3:7" x14ac:dyDescent="0.25">
      <c r="C60" s="1" t="s">
        <v>120</v>
      </c>
      <c r="D60" s="15">
        <v>16.350000000000001</v>
      </c>
      <c r="G60" s="8"/>
    </row>
    <row r="61" spans="3:7" x14ac:dyDescent="0.25">
      <c r="C61" s="1" t="s">
        <v>119</v>
      </c>
      <c r="D61" s="15">
        <v>8.11</v>
      </c>
      <c r="G61" s="8"/>
    </row>
    <row r="62" spans="3:7" x14ac:dyDescent="0.25">
      <c r="C62" s="1" t="s">
        <v>118</v>
      </c>
      <c r="D62" s="15">
        <v>97.5</v>
      </c>
      <c r="G62" s="8"/>
    </row>
    <row r="63" spans="3:7" x14ac:dyDescent="0.25">
      <c r="C63" s="1" t="s">
        <v>117</v>
      </c>
      <c r="D63" s="15">
        <v>13.5</v>
      </c>
      <c r="G63" s="8"/>
    </row>
    <row r="64" spans="3:7" x14ac:dyDescent="0.25">
      <c r="G64" s="8"/>
    </row>
    <row r="65" spans="2:13" x14ac:dyDescent="0.25">
      <c r="B65" s="2" t="s">
        <v>17</v>
      </c>
      <c r="D65" s="2">
        <f>SUM(D47:D64)</f>
        <v>239.08000000000004</v>
      </c>
      <c r="G65" s="8"/>
      <c r="I65" s="3">
        <f>SUM(D47:D58)</f>
        <v>87.90000000000002</v>
      </c>
      <c r="J65" s="3">
        <f>SUM(D59:D61)</f>
        <v>40.18</v>
      </c>
      <c r="K65" s="3">
        <f>SUM(D62)</f>
        <v>97.5</v>
      </c>
      <c r="L65" s="3">
        <f>D63</f>
        <v>13.5</v>
      </c>
      <c r="M65" s="13">
        <f>I65+J65+K65+L65</f>
        <v>239.08</v>
      </c>
    </row>
    <row r="66" spans="2:13" x14ac:dyDescent="0.25">
      <c r="G66" s="8"/>
    </row>
    <row r="67" spans="2:13" ht="13" x14ac:dyDescent="0.3">
      <c r="B67" s="7" t="s">
        <v>40</v>
      </c>
      <c r="C67" s="7" t="s">
        <v>39</v>
      </c>
      <c r="D67" s="7" t="s">
        <v>38</v>
      </c>
      <c r="E67" s="7" t="s">
        <v>37</v>
      </c>
      <c r="F67" s="7" t="s">
        <v>36</v>
      </c>
      <c r="G67" s="7" t="s">
        <v>35</v>
      </c>
      <c r="I67" s="3" t="s">
        <v>105</v>
      </c>
      <c r="J67" s="3" t="s">
        <v>116</v>
      </c>
      <c r="K67" s="3" t="s">
        <v>102</v>
      </c>
      <c r="L67" s="3" t="s">
        <v>111</v>
      </c>
    </row>
    <row r="68" spans="2:13" x14ac:dyDescent="0.25">
      <c r="B68" s="2" t="s">
        <v>115</v>
      </c>
      <c r="C68" s="1" t="s">
        <v>7</v>
      </c>
      <c r="D68" s="15">
        <v>453.65</v>
      </c>
      <c r="G68" s="8"/>
    </row>
    <row r="69" spans="2:13" x14ac:dyDescent="0.25">
      <c r="B69" s="2" t="s">
        <v>114</v>
      </c>
      <c r="C69" s="1" t="s">
        <v>8</v>
      </c>
      <c r="D69" s="15">
        <v>70</v>
      </c>
      <c r="G69" s="8"/>
    </row>
    <row r="70" spans="2:13" x14ac:dyDescent="0.25">
      <c r="B70" s="2" t="s">
        <v>81</v>
      </c>
      <c r="C70" s="1" t="s">
        <v>9</v>
      </c>
      <c r="D70" s="15">
        <v>134.37</v>
      </c>
      <c r="G70" s="8"/>
    </row>
    <row r="71" spans="2:13" x14ac:dyDescent="0.25">
      <c r="C71" s="1" t="s">
        <v>10</v>
      </c>
      <c r="D71" s="15">
        <v>639.83000000000004</v>
      </c>
      <c r="G71" s="8"/>
    </row>
    <row r="72" spans="2:13" x14ac:dyDescent="0.25">
      <c r="C72" s="1" t="s">
        <v>113</v>
      </c>
      <c r="D72" s="15">
        <v>16</v>
      </c>
      <c r="G72" s="8"/>
    </row>
    <row r="73" spans="2:13" x14ac:dyDescent="0.25">
      <c r="C73" s="1" t="s">
        <v>22</v>
      </c>
      <c r="D73" s="15">
        <v>7.3</v>
      </c>
      <c r="G73" s="8"/>
    </row>
    <row r="74" spans="2:13" x14ac:dyDescent="0.25">
      <c r="C74" s="1" t="s">
        <v>22</v>
      </c>
      <c r="D74" s="15">
        <v>1.8</v>
      </c>
      <c r="G74" s="8"/>
    </row>
    <row r="75" spans="2:13" x14ac:dyDescent="0.25">
      <c r="G75" s="8"/>
    </row>
    <row r="76" spans="2:13" x14ac:dyDescent="0.25">
      <c r="B76" s="2" t="s">
        <v>17</v>
      </c>
      <c r="D76" s="2">
        <f>SUM(D68:D75)</f>
        <v>1322.9499999999998</v>
      </c>
      <c r="G76" s="8"/>
      <c r="I76" s="3">
        <f>SUM(D68:D71)</f>
        <v>1297.8499999999999</v>
      </c>
      <c r="J76" s="3">
        <f>D72</f>
        <v>16</v>
      </c>
      <c r="K76" s="3">
        <f>SUM(D73:D74)</f>
        <v>9.1</v>
      </c>
      <c r="L76" s="3">
        <f>I76+J76+K76</f>
        <v>1322.9499999999998</v>
      </c>
    </row>
    <row r="77" spans="2:13" x14ac:dyDescent="0.25">
      <c r="G77" s="8"/>
    </row>
    <row r="78" spans="2:13" ht="13" x14ac:dyDescent="0.3">
      <c r="B78" s="7" t="s">
        <v>40</v>
      </c>
      <c r="C78" s="7" t="s">
        <v>39</v>
      </c>
      <c r="D78" s="7" t="s">
        <v>38</v>
      </c>
      <c r="E78" s="7" t="s">
        <v>37</v>
      </c>
      <c r="F78" s="7" t="s">
        <v>36</v>
      </c>
      <c r="G78" s="7" t="s">
        <v>35</v>
      </c>
      <c r="I78" s="3" t="s">
        <v>105</v>
      </c>
      <c r="J78" s="3" t="s">
        <v>112</v>
      </c>
      <c r="K78" s="3" t="s">
        <v>102</v>
      </c>
      <c r="L78" s="3" t="s">
        <v>111</v>
      </c>
    </row>
    <row r="79" spans="2:13" x14ac:dyDescent="0.25">
      <c r="B79" s="2" t="s">
        <v>110</v>
      </c>
      <c r="C79" s="1" t="s">
        <v>7</v>
      </c>
      <c r="D79" s="15">
        <v>219.84</v>
      </c>
      <c r="G79" s="8"/>
    </row>
    <row r="80" spans="2:13" x14ac:dyDescent="0.25">
      <c r="B80" s="2" t="s">
        <v>109</v>
      </c>
      <c r="C80" s="1" t="s">
        <v>8</v>
      </c>
      <c r="D80" s="15">
        <v>146.6</v>
      </c>
      <c r="G80" s="8"/>
    </row>
    <row r="81" spans="2:13" x14ac:dyDescent="0.25">
      <c r="B81" s="2" t="s">
        <v>81</v>
      </c>
      <c r="C81" s="1" t="s">
        <v>9</v>
      </c>
      <c r="D81" s="15">
        <v>106.16</v>
      </c>
      <c r="G81" s="8"/>
    </row>
    <row r="82" spans="2:13" x14ac:dyDescent="0.25">
      <c r="C82" s="1" t="s">
        <v>10</v>
      </c>
      <c r="D82" s="15">
        <v>80.819999999999993</v>
      </c>
      <c r="G82" s="8"/>
    </row>
    <row r="83" spans="2:13" x14ac:dyDescent="0.25">
      <c r="C83" s="1" t="s">
        <v>11</v>
      </c>
      <c r="D83" s="15">
        <v>28.21</v>
      </c>
      <c r="G83" s="8"/>
    </row>
    <row r="84" spans="2:13" x14ac:dyDescent="0.25">
      <c r="C84" s="1" t="s">
        <v>12</v>
      </c>
      <c r="D84" s="15">
        <v>28.21</v>
      </c>
      <c r="G84" s="8"/>
    </row>
    <row r="85" spans="2:13" x14ac:dyDescent="0.25">
      <c r="C85" s="1" t="s">
        <v>108</v>
      </c>
      <c r="D85" s="15">
        <v>6</v>
      </c>
      <c r="G85" s="8"/>
    </row>
    <row r="86" spans="2:13" x14ac:dyDescent="0.25">
      <c r="C86" s="1" t="s">
        <v>107</v>
      </c>
      <c r="D86" s="15">
        <v>6</v>
      </c>
      <c r="G86" s="8"/>
    </row>
    <row r="87" spans="2:13" x14ac:dyDescent="0.25">
      <c r="C87" s="1" t="s">
        <v>106</v>
      </c>
      <c r="D87" s="15">
        <v>6</v>
      </c>
      <c r="G87" s="8"/>
    </row>
    <row r="88" spans="2:13" x14ac:dyDescent="0.25">
      <c r="C88" s="1" t="s">
        <v>22</v>
      </c>
      <c r="D88" s="15">
        <v>10.71</v>
      </c>
      <c r="G88" s="8"/>
    </row>
    <row r="89" spans="2:13" x14ac:dyDescent="0.25">
      <c r="C89" s="1" t="s">
        <v>22</v>
      </c>
      <c r="D89" s="15">
        <v>2</v>
      </c>
      <c r="G89" s="8"/>
    </row>
    <row r="90" spans="2:13" x14ac:dyDescent="0.25">
      <c r="G90" s="8"/>
    </row>
    <row r="91" spans="2:13" x14ac:dyDescent="0.25">
      <c r="B91" s="2" t="s">
        <v>17</v>
      </c>
      <c r="D91" s="2">
        <f>SUM(D79:D90)</f>
        <v>640.55000000000018</v>
      </c>
      <c r="I91" s="3">
        <f>SUM(D79:D84)</f>
        <v>609.84000000000015</v>
      </c>
      <c r="J91" s="3">
        <f>SUM(D85:D87)</f>
        <v>18</v>
      </c>
      <c r="K91" s="3">
        <f>SUM(D88:D89)</f>
        <v>12.71</v>
      </c>
      <c r="L91" s="3">
        <f>I91+J91+K91</f>
        <v>640.55000000000018</v>
      </c>
    </row>
    <row r="93" spans="2:13" ht="13" x14ac:dyDescent="0.3">
      <c r="B93" s="7" t="s">
        <v>40</v>
      </c>
      <c r="C93" s="7" t="s">
        <v>39</v>
      </c>
      <c r="D93" s="7" t="s">
        <v>38</v>
      </c>
      <c r="E93" s="7" t="s">
        <v>37</v>
      </c>
      <c r="F93" s="7" t="s">
        <v>36</v>
      </c>
      <c r="G93" s="7" t="s">
        <v>35</v>
      </c>
      <c r="I93" s="3" t="s">
        <v>105</v>
      </c>
      <c r="J93" s="3" t="s">
        <v>104</v>
      </c>
      <c r="K93" s="3" t="s">
        <v>103</v>
      </c>
      <c r="L93" s="3" t="s">
        <v>102</v>
      </c>
      <c r="M93" s="2" t="s">
        <v>101</v>
      </c>
    </row>
    <row r="94" spans="2:13" x14ac:dyDescent="0.25">
      <c r="B94" s="2" t="s">
        <v>100</v>
      </c>
      <c r="C94" s="1" t="s">
        <v>7</v>
      </c>
      <c r="D94" s="15">
        <v>466.58</v>
      </c>
      <c r="G94" s="8"/>
    </row>
    <row r="95" spans="2:13" x14ac:dyDescent="0.25">
      <c r="B95" s="2">
        <v>2</v>
      </c>
      <c r="C95" s="1" t="s">
        <v>8</v>
      </c>
      <c r="D95" s="15">
        <v>240</v>
      </c>
      <c r="G95" s="8"/>
    </row>
    <row r="96" spans="2:13" x14ac:dyDescent="0.25">
      <c r="B96" s="2" t="s">
        <v>81</v>
      </c>
      <c r="C96" s="1" t="s">
        <v>9</v>
      </c>
      <c r="D96" s="15">
        <v>36</v>
      </c>
      <c r="G96" s="8"/>
    </row>
    <row r="97" spans="1:14" x14ac:dyDescent="0.25">
      <c r="C97" s="1" t="s">
        <v>99</v>
      </c>
      <c r="D97" s="15">
        <v>2089.63</v>
      </c>
      <c r="G97" s="8"/>
    </row>
    <row r="98" spans="1:14" x14ac:dyDescent="0.25">
      <c r="C98" s="1" t="s">
        <v>98</v>
      </c>
      <c r="D98" s="15">
        <v>353.46</v>
      </c>
      <c r="G98" s="8"/>
    </row>
    <row r="99" spans="1:14" x14ac:dyDescent="0.25">
      <c r="C99" s="1" t="s">
        <v>22</v>
      </c>
      <c r="D99" s="15">
        <v>21.35</v>
      </c>
      <c r="G99" s="8"/>
    </row>
    <row r="100" spans="1:14" x14ac:dyDescent="0.25">
      <c r="C100" s="1" t="s">
        <v>22</v>
      </c>
      <c r="D100" s="15">
        <v>28.21</v>
      </c>
      <c r="G100" s="8"/>
    </row>
    <row r="101" spans="1:14" x14ac:dyDescent="0.25">
      <c r="C101" s="1" t="s">
        <v>22</v>
      </c>
      <c r="D101" s="15">
        <v>10.71</v>
      </c>
      <c r="G101" s="8"/>
    </row>
    <row r="102" spans="1:14" x14ac:dyDescent="0.25">
      <c r="C102" s="1" t="s">
        <v>22</v>
      </c>
      <c r="D102" s="15">
        <v>2</v>
      </c>
      <c r="G102" s="8"/>
    </row>
    <row r="103" spans="1:14" x14ac:dyDescent="0.25">
      <c r="D103" s="15"/>
      <c r="G103" s="8"/>
    </row>
    <row r="104" spans="1:14" x14ac:dyDescent="0.25">
      <c r="G104" s="8"/>
    </row>
    <row r="105" spans="1:14" ht="14.5" x14ac:dyDescent="0.35">
      <c r="B105" s="2" t="s">
        <v>17</v>
      </c>
      <c r="D105" s="2">
        <f>SUM(D94:D104)</f>
        <v>3247.94</v>
      </c>
      <c r="I105" s="3">
        <f>SUM(D94:D96)</f>
        <v>742.57999999999993</v>
      </c>
      <c r="J105" s="3">
        <f>D97</f>
        <v>2089.63</v>
      </c>
      <c r="K105" s="14">
        <f>D98</f>
        <v>353.46</v>
      </c>
      <c r="L105" s="3">
        <f>SUM(D99:D102)</f>
        <v>62.27</v>
      </c>
      <c r="M105" s="13">
        <f>I105+J105+K105+L105</f>
        <v>3247.94</v>
      </c>
    </row>
    <row r="107" spans="1:14" s="4" customFormat="1" ht="13" x14ac:dyDescent="0.3">
      <c r="A107" s="1"/>
      <c r="B107" s="7" t="s">
        <v>40</v>
      </c>
      <c r="C107" s="7" t="s">
        <v>39</v>
      </c>
      <c r="D107" s="7" t="s">
        <v>38</v>
      </c>
      <c r="E107" s="7" t="s">
        <v>37</v>
      </c>
      <c r="F107" s="7" t="s">
        <v>36</v>
      </c>
      <c r="G107" s="7" t="s">
        <v>35</v>
      </c>
      <c r="I107" s="6" t="s">
        <v>97</v>
      </c>
      <c r="J107" s="6" t="s">
        <v>96</v>
      </c>
      <c r="K107" s="12" t="s">
        <v>46</v>
      </c>
      <c r="L107" s="6" t="s">
        <v>17</v>
      </c>
      <c r="M107" s="5"/>
      <c r="N107" s="5"/>
    </row>
    <row r="108" spans="1:14" x14ac:dyDescent="0.25">
      <c r="B108" s="2" t="s">
        <v>95</v>
      </c>
      <c r="C108" s="1" t="s">
        <v>94</v>
      </c>
      <c r="D108" s="2">
        <v>516</v>
      </c>
      <c r="E108" s="2">
        <v>1196.19</v>
      </c>
      <c r="F108" s="2">
        <v>245.23</v>
      </c>
      <c r="G108" s="8">
        <f t="shared" ref="G108:G113" si="0">D108+(F108*(D108/E108))</f>
        <v>621.78476663406309</v>
      </c>
    </row>
    <row r="109" spans="1:14" x14ac:dyDescent="0.25">
      <c r="B109" s="2">
        <v>3</v>
      </c>
      <c r="C109" s="1" t="s">
        <v>93</v>
      </c>
      <c r="D109" s="2">
        <v>213.77</v>
      </c>
      <c r="E109" s="2">
        <v>1196.19</v>
      </c>
      <c r="F109" s="2">
        <v>245.23</v>
      </c>
      <c r="G109" s="8">
        <f t="shared" si="0"/>
        <v>257.59482473520092</v>
      </c>
    </row>
    <row r="110" spans="1:14" x14ac:dyDescent="0.25">
      <c r="B110" s="2" t="s">
        <v>81</v>
      </c>
      <c r="C110" s="1" t="s">
        <v>92</v>
      </c>
      <c r="D110" s="2">
        <v>245</v>
      </c>
      <c r="E110" s="2">
        <v>1196.19</v>
      </c>
      <c r="F110" s="2">
        <v>245.23</v>
      </c>
      <c r="G110" s="8">
        <f t="shared" si="0"/>
        <v>295.22726322741369</v>
      </c>
    </row>
    <row r="111" spans="1:14" ht="13" x14ac:dyDescent="0.3">
      <c r="A111" s="4"/>
      <c r="C111" s="1" t="s">
        <v>91</v>
      </c>
      <c r="D111" s="2">
        <f>205.61</f>
        <v>205.61</v>
      </c>
      <c r="E111" s="2">
        <v>1196.19</v>
      </c>
      <c r="F111" s="2">
        <v>245.23</v>
      </c>
      <c r="G111" s="8">
        <f t="shared" si="0"/>
        <v>247.76194935587156</v>
      </c>
    </row>
    <row r="112" spans="1:14" x14ac:dyDescent="0.25">
      <c r="C112" s="1" t="s">
        <v>22</v>
      </c>
      <c r="D112" s="2">
        <v>7.91</v>
      </c>
      <c r="E112" s="2">
        <v>1196.19</v>
      </c>
      <c r="F112" s="2">
        <v>245.23</v>
      </c>
      <c r="G112" s="8">
        <f t="shared" si="0"/>
        <v>9.5316230699136426</v>
      </c>
    </row>
    <row r="113" spans="1:14" x14ac:dyDescent="0.25">
      <c r="C113" s="1" t="s">
        <v>22</v>
      </c>
      <c r="D113" s="2">
        <v>7.9</v>
      </c>
      <c r="E113" s="2">
        <v>1196.19</v>
      </c>
      <c r="F113" s="2">
        <v>245.23</v>
      </c>
      <c r="G113" s="8">
        <f t="shared" si="0"/>
        <v>9.5195729775370133</v>
      </c>
    </row>
    <row r="115" spans="1:14" x14ac:dyDescent="0.25">
      <c r="B115" s="2" t="s">
        <v>17</v>
      </c>
      <c r="D115" s="2">
        <f>SUM(D108:D113)</f>
        <v>1196.1900000000003</v>
      </c>
      <c r="G115" s="8">
        <f>SUM(G108:G113)</f>
        <v>1441.42</v>
      </c>
      <c r="I115" s="3">
        <f>SUM(G108:G111)</f>
        <v>1422.3688039525493</v>
      </c>
      <c r="J115" s="3">
        <f>SUM(D112:D113)</f>
        <v>15.81</v>
      </c>
      <c r="K115" s="3">
        <v>0</v>
      </c>
      <c r="L115" s="3">
        <f>SUM(I115:K115)</f>
        <v>1438.1788039525493</v>
      </c>
    </row>
    <row r="117" spans="1:14" s="4" customFormat="1" ht="13" x14ac:dyDescent="0.3">
      <c r="A117" s="1"/>
      <c r="B117" s="7" t="s">
        <v>40</v>
      </c>
      <c r="C117" s="7" t="s">
        <v>39</v>
      </c>
      <c r="D117" s="7" t="s">
        <v>38</v>
      </c>
      <c r="E117" s="7" t="s">
        <v>37</v>
      </c>
      <c r="F117" s="7" t="s">
        <v>36</v>
      </c>
      <c r="G117" s="7" t="s">
        <v>35</v>
      </c>
      <c r="I117" s="11"/>
      <c r="J117" s="6"/>
      <c r="K117" s="6"/>
      <c r="L117" s="6"/>
      <c r="M117" s="5"/>
      <c r="N117" s="5"/>
    </row>
    <row r="118" spans="1:14" x14ac:dyDescent="0.25">
      <c r="B118" s="2" t="s">
        <v>90</v>
      </c>
      <c r="C118" s="2" t="s">
        <v>7</v>
      </c>
      <c r="D118" s="2">
        <v>246.09</v>
      </c>
      <c r="E118" s="2">
        <v>1302.5999999999999</v>
      </c>
      <c r="F118" s="2">
        <v>235.48</v>
      </c>
      <c r="G118" s="8">
        <f t="shared" ref="G118:G126" si="1">D118+(F118*(D118/E118))</f>
        <v>290.57738922155687</v>
      </c>
    </row>
    <row r="119" spans="1:14" ht="13" x14ac:dyDescent="0.3">
      <c r="A119" s="4"/>
      <c r="B119" s="2">
        <v>5</v>
      </c>
      <c r="C119" s="2" t="s">
        <v>8</v>
      </c>
      <c r="D119" s="2">
        <v>116.47</v>
      </c>
      <c r="E119" s="2">
        <v>1302.5999999999999</v>
      </c>
      <c r="F119" s="2">
        <v>235.48</v>
      </c>
      <c r="G119" s="8">
        <f t="shared" si="1"/>
        <v>137.52508644249963</v>
      </c>
    </row>
    <row r="120" spans="1:14" x14ac:dyDescent="0.25">
      <c r="B120" s="2" t="s">
        <v>81</v>
      </c>
      <c r="C120" s="2" t="s">
        <v>9</v>
      </c>
      <c r="D120" s="2">
        <v>116.46</v>
      </c>
      <c r="E120" s="2">
        <v>1302.5999999999999</v>
      </c>
      <c r="F120" s="2">
        <v>235.48</v>
      </c>
      <c r="G120" s="8">
        <f t="shared" si="1"/>
        <v>137.51327867342238</v>
      </c>
    </row>
    <row r="121" spans="1:14" x14ac:dyDescent="0.25">
      <c r="C121" s="2" t="s">
        <v>10</v>
      </c>
      <c r="D121" s="2">
        <v>336.35</v>
      </c>
      <c r="E121" s="2">
        <v>1302.5999999999999</v>
      </c>
      <c r="F121" s="2">
        <v>235.48</v>
      </c>
      <c r="G121" s="8">
        <f t="shared" si="1"/>
        <v>397.15431291263627</v>
      </c>
    </row>
    <row r="122" spans="1:14" x14ac:dyDescent="0.25">
      <c r="C122" s="2" t="s">
        <v>11</v>
      </c>
      <c r="D122" s="2">
        <v>116.5</v>
      </c>
      <c r="E122" s="2">
        <v>1302.5999999999999</v>
      </c>
      <c r="F122" s="2">
        <v>235.48</v>
      </c>
      <c r="G122" s="8">
        <f t="shared" si="1"/>
        <v>137.5605097497313</v>
      </c>
    </row>
    <row r="123" spans="1:14" x14ac:dyDescent="0.25">
      <c r="C123" s="2" t="s">
        <v>12</v>
      </c>
      <c r="D123" s="2">
        <v>116.52</v>
      </c>
      <c r="E123" s="2">
        <v>1302.5999999999999</v>
      </c>
      <c r="F123" s="2">
        <v>235.48</v>
      </c>
      <c r="G123" s="8">
        <f t="shared" si="1"/>
        <v>137.58412528788577</v>
      </c>
    </row>
    <row r="124" spans="1:14" x14ac:dyDescent="0.25">
      <c r="C124" s="2" t="s">
        <v>13</v>
      </c>
      <c r="D124" s="2">
        <v>226.28</v>
      </c>
      <c r="E124" s="2">
        <v>1302.5999999999999</v>
      </c>
      <c r="F124" s="2">
        <v>235.48</v>
      </c>
      <c r="G124" s="8">
        <f t="shared" si="1"/>
        <v>267.18619867956397</v>
      </c>
    </row>
    <row r="125" spans="1:14" x14ac:dyDescent="0.25">
      <c r="C125" s="2" t="s">
        <v>22</v>
      </c>
      <c r="D125" s="2">
        <v>13.05</v>
      </c>
      <c r="E125" s="2">
        <v>1302.5999999999999</v>
      </c>
      <c r="F125" s="2">
        <v>235.48</v>
      </c>
      <c r="G125" s="8">
        <f t="shared" si="1"/>
        <v>15.409138645785353</v>
      </c>
    </row>
    <row r="126" spans="1:14" x14ac:dyDescent="0.25">
      <c r="C126" s="2" t="s">
        <v>22</v>
      </c>
      <c r="D126" s="2">
        <v>14.88</v>
      </c>
      <c r="E126" s="2">
        <v>1302.5999999999999</v>
      </c>
      <c r="F126" s="2">
        <v>235.48</v>
      </c>
      <c r="G126" s="8">
        <f t="shared" si="1"/>
        <v>17.569960386918471</v>
      </c>
    </row>
    <row r="127" spans="1:14" x14ac:dyDescent="0.25">
      <c r="C127" s="2"/>
      <c r="G127" s="8"/>
    </row>
    <row r="128" spans="1:14" x14ac:dyDescent="0.25">
      <c r="B128" s="2" t="s">
        <v>17</v>
      </c>
      <c r="C128" s="2"/>
      <c r="D128" s="2">
        <f>SUM(D118:D127)</f>
        <v>1302.6000000000001</v>
      </c>
      <c r="G128" s="8">
        <f>SUM(G118:G126)</f>
        <v>1538.08</v>
      </c>
      <c r="I128" s="3">
        <f>SUM(G118:G124)</f>
        <v>1505.1009009672962</v>
      </c>
      <c r="J128" s="3">
        <f>SUM(D125:D126)</f>
        <v>27.93</v>
      </c>
      <c r="K128" s="3">
        <v>0</v>
      </c>
      <c r="L128" s="3">
        <f>SUM(I128:K128)</f>
        <v>1533.0309009672962</v>
      </c>
    </row>
    <row r="129" spans="1:24" x14ac:dyDescent="0.25">
      <c r="C129" s="2"/>
      <c r="G129" s="8"/>
    </row>
    <row r="130" spans="1:24" s="4" customFormat="1" ht="13" x14ac:dyDescent="0.3">
      <c r="A130" s="1"/>
      <c r="B130" s="7" t="s">
        <v>40</v>
      </c>
      <c r="C130" s="7" t="s">
        <v>39</v>
      </c>
      <c r="D130" s="7" t="s">
        <v>38</v>
      </c>
      <c r="E130" s="7" t="s">
        <v>37</v>
      </c>
      <c r="F130" s="7" t="s">
        <v>36</v>
      </c>
      <c r="G130" s="7" t="s">
        <v>35</v>
      </c>
      <c r="I130" s="6"/>
      <c r="J130" s="6"/>
      <c r="K130" s="6"/>
      <c r="L130" s="6"/>
      <c r="R130" s="5"/>
      <c r="S130" s="4" t="s">
        <v>88</v>
      </c>
      <c r="T130" s="5" t="s">
        <v>35</v>
      </c>
      <c r="U130" s="5"/>
      <c r="V130" s="5"/>
      <c r="W130" s="5" t="s">
        <v>37</v>
      </c>
      <c r="X130" s="4" t="s">
        <v>87</v>
      </c>
    </row>
    <row r="131" spans="1:24" x14ac:dyDescent="0.25">
      <c r="B131" s="2" t="s">
        <v>89</v>
      </c>
      <c r="C131" s="2" t="s">
        <v>7</v>
      </c>
      <c r="D131" s="2">
        <v>246.09</v>
      </c>
      <c r="E131" s="2">
        <v>1318.56</v>
      </c>
      <c r="F131" s="2">
        <v>218.2</v>
      </c>
      <c r="G131" s="8">
        <f t="shared" ref="G131:G141" si="2">D131+(F131*(D131/E131))</f>
        <v>286.81384874408445</v>
      </c>
      <c r="R131" s="2" t="s">
        <v>85</v>
      </c>
      <c r="S131" s="1">
        <v>143.21</v>
      </c>
      <c r="T131" s="8">
        <f>S131+(X131*(S131/W131))</f>
        <v>150.55679046635245</v>
      </c>
      <c r="U131" s="2"/>
      <c r="V131" s="2"/>
      <c r="W131" s="2">
        <f>E131+S131</f>
        <v>1461.77</v>
      </c>
      <c r="X131" s="1">
        <f>F131-S131</f>
        <v>74.989999999999981</v>
      </c>
    </row>
    <row r="132" spans="1:24" ht="13" x14ac:dyDescent="0.3">
      <c r="A132" s="4"/>
      <c r="B132" s="2">
        <v>6</v>
      </c>
      <c r="C132" s="2" t="s">
        <v>8</v>
      </c>
      <c r="D132" s="2">
        <v>116.46</v>
      </c>
      <c r="E132" s="2">
        <v>1318.56</v>
      </c>
      <c r="F132" s="2">
        <v>218.2</v>
      </c>
      <c r="G132" s="8">
        <f t="shared" si="2"/>
        <v>135.73221514379321</v>
      </c>
      <c r="R132" s="2"/>
      <c r="T132" s="2"/>
      <c r="U132" s="2"/>
      <c r="V132" s="2"/>
      <c r="W132" s="2"/>
    </row>
    <row r="133" spans="1:24" x14ac:dyDescent="0.25">
      <c r="B133" s="2" t="s">
        <v>81</v>
      </c>
      <c r="C133" s="2" t="s">
        <v>9</v>
      </c>
      <c r="D133" s="2">
        <v>116.47</v>
      </c>
      <c r="E133" s="2">
        <v>1318.56</v>
      </c>
      <c r="F133" s="2">
        <v>218.2</v>
      </c>
      <c r="G133" s="8">
        <f t="shared" si="2"/>
        <v>135.74386997937142</v>
      </c>
      <c r="R133" s="2"/>
      <c r="T133" s="2"/>
      <c r="U133" s="2"/>
      <c r="V133" s="2"/>
      <c r="W133" s="2"/>
    </row>
    <row r="134" spans="1:24" x14ac:dyDescent="0.25">
      <c r="C134" s="2" t="s">
        <v>10</v>
      </c>
      <c r="D134" s="2">
        <v>336.33</v>
      </c>
      <c r="E134" s="2">
        <v>1318.56</v>
      </c>
      <c r="F134" s="2">
        <v>218.2</v>
      </c>
      <c r="G134" s="8">
        <f t="shared" si="2"/>
        <v>391.98708500182016</v>
      </c>
      <c r="R134" s="2"/>
      <c r="T134" s="2"/>
      <c r="U134" s="2"/>
      <c r="V134" s="2"/>
      <c r="W134" s="2"/>
    </row>
    <row r="135" spans="1:24" x14ac:dyDescent="0.25">
      <c r="C135" s="2" t="s">
        <v>11</v>
      </c>
      <c r="D135" s="2">
        <v>116.51</v>
      </c>
      <c r="E135" s="2">
        <v>1318.56</v>
      </c>
      <c r="F135" s="2">
        <v>218.2</v>
      </c>
      <c r="G135" s="8">
        <f t="shared" si="2"/>
        <v>135.79048932168428</v>
      </c>
      <c r="R135" s="2"/>
      <c r="T135" s="2"/>
      <c r="U135" s="2"/>
      <c r="V135" s="2"/>
      <c r="W135" s="2"/>
    </row>
    <row r="136" spans="1:24" x14ac:dyDescent="0.25">
      <c r="C136" s="2" t="s">
        <v>12</v>
      </c>
      <c r="D136" s="2">
        <v>116.52</v>
      </c>
      <c r="E136" s="2">
        <v>1318.56</v>
      </c>
      <c r="F136" s="2">
        <v>218.2</v>
      </c>
      <c r="G136" s="8">
        <f t="shared" si="2"/>
        <v>135.80214415726246</v>
      </c>
      <c r="R136" s="2"/>
      <c r="T136" s="2"/>
      <c r="U136" s="2"/>
      <c r="V136" s="2"/>
      <c r="W136" s="2"/>
    </row>
    <row r="137" spans="1:24" x14ac:dyDescent="0.25">
      <c r="C137" s="2" t="s">
        <v>13</v>
      </c>
      <c r="D137" s="2">
        <v>226.27</v>
      </c>
      <c r="E137" s="2">
        <v>1318.56</v>
      </c>
      <c r="F137" s="2">
        <v>218.2</v>
      </c>
      <c r="G137" s="8">
        <f t="shared" si="2"/>
        <v>263.71396462807911</v>
      </c>
      <c r="R137" s="2"/>
      <c r="T137" s="2"/>
      <c r="U137" s="2"/>
      <c r="V137" s="2"/>
      <c r="W137" s="2"/>
    </row>
    <row r="138" spans="1:24" x14ac:dyDescent="0.25">
      <c r="C138" s="2" t="s">
        <v>22</v>
      </c>
      <c r="D138" s="2">
        <v>13.04</v>
      </c>
      <c r="E138" s="2">
        <v>1318.56</v>
      </c>
      <c r="F138" s="2">
        <v>218.2</v>
      </c>
      <c r="G138" s="8">
        <f t="shared" si="2"/>
        <v>15.197905593981311</v>
      </c>
      <c r="R138" s="2"/>
      <c r="T138" s="2"/>
      <c r="U138" s="2"/>
      <c r="V138" s="2"/>
      <c r="W138" s="2"/>
    </row>
    <row r="139" spans="1:24" x14ac:dyDescent="0.25">
      <c r="C139" s="2" t="s">
        <v>22</v>
      </c>
      <c r="D139" s="2">
        <v>14.88</v>
      </c>
      <c r="E139" s="2">
        <v>1318.56</v>
      </c>
      <c r="F139" s="2">
        <v>218.2</v>
      </c>
      <c r="G139" s="8">
        <f t="shared" si="2"/>
        <v>17.342395340371315</v>
      </c>
      <c r="R139" s="2"/>
      <c r="T139" s="2"/>
      <c r="U139" s="2"/>
      <c r="V139" s="2"/>
      <c r="W139" s="2"/>
    </row>
    <row r="140" spans="1:24" x14ac:dyDescent="0.25">
      <c r="C140" s="2" t="s">
        <v>22</v>
      </c>
      <c r="D140" s="2">
        <v>7.99</v>
      </c>
      <c r="E140" s="2">
        <v>1318.56</v>
      </c>
      <c r="F140" s="2">
        <v>218.2</v>
      </c>
      <c r="G140" s="8">
        <f t="shared" si="2"/>
        <v>9.3122136269870168</v>
      </c>
      <c r="R140" s="2"/>
      <c r="T140" s="2"/>
      <c r="U140" s="2"/>
      <c r="V140" s="2"/>
      <c r="W140" s="2"/>
    </row>
    <row r="141" spans="1:24" x14ac:dyDescent="0.25">
      <c r="C141" s="2" t="s">
        <v>22</v>
      </c>
      <c r="D141" s="2">
        <v>8</v>
      </c>
      <c r="E141" s="2">
        <v>1318.56</v>
      </c>
      <c r="F141" s="2">
        <v>218.2</v>
      </c>
      <c r="G141" s="8">
        <f t="shared" si="2"/>
        <v>9.3238684625652226</v>
      </c>
      <c r="R141" s="2"/>
      <c r="T141" s="2"/>
      <c r="U141" s="2"/>
      <c r="V141" s="2"/>
      <c r="W141" s="2"/>
    </row>
    <row r="142" spans="1:24" x14ac:dyDescent="0.25">
      <c r="C142" s="2"/>
      <c r="G142" s="8"/>
      <c r="R142" s="2"/>
      <c r="T142" s="2"/>
      <c r="U142" s="2"/>
      <c r="V142" s="2"/>
      <c r="W142" s="2"/>
    </row>
    <row r="143" spans="1:24" x14ac:dyDescent="0.25">
      <c r="B143" s="2" t="s">
        <v>17</v>
      </c>
      <c r="C143" s="2"/>
      <c r="D143" s="2">
        <f>SUM(D131:D141)</f>
        <v>1318.56</v>
      </c>
      <c r="G143" s="8">
        <f>SUM(G131:G141)</f>
        <v>1536.7599999999998</v>
      </c>
      <c r="I143" s="3">
        <f>SUM(G131:G137)</f>
        <v>1485.5836169760951</v>
      </c>
      <c r="J143" s="3">
        <f>SUM(D138:D141)</f>
        <v>43.910000000000004</v>
      </c>
      <c r="K143" s="3">
        <v>0</v>
      </c>
      <c r="L143" s="3">
        <f>SUM(I143:K143)</f>
        <v>1529.4936169760952</v>
      </c>
      <c r="R143" s="2"/>
      <c r="T143" s="2"/>
      <c r="U143" s="2"/>
      <c r="V143" s="2"/>
      <c r="W143" s="2"/>
    </row>
    <row r="144" spans="1:24" x14ac:dyDescent="0.25">
      <c r="C144" s="2"/>
      <c r="G144" s="8"/>
      <c r="R144" s="2"/>
      <c r="T144" s="2"/>
      <c r="U144" s="2"/>
      <c r="V144" s="2"/>
      <c r="W144" s="2"/>
    </row>
    <row r="145" spans="1:24" s="4" customFormat="1" ht="13" x14ac:dyDescent="0.3">
      <c r="A145" s="1"/>
      <c r="B145" s="7" t="s">
        <v>40</v>
      </c>
      <c r="C145" s="7" t="s">
        <v>39</v>
      </c>
      <c r="D145" s="7" t="s">
        <v>38</v>
      </c>
      <c r="E145" s="7" t="s">
        <v>37</v>
      </c>
      <c r="F145" s="7" t="s">
        <v>36</v>
      </c>
      <c r="G145" s="7" t="s">
        <v>35</v>
      </c>
      <c r="I145" s="6"/>
      <c r="J145" s="6"/>
      <c r="K145" s="6"/>
      <c r="L145" s="6"/>
      <c r="R145" s="5"/>
      <c r="S145" s="4" t="s">
        <v>88</v>
      </c>
      <c r="T145" s="5" t="s">
        <v>35</v>
      </c>
      <c r="U145" s="5"/>
      <c r="V145" s="5"/>
      <c r="W145" s="5" t="s">
        <v>37</v>
      </c>
      <c r="X145" s="4" t="s">
        <v>87</v>
      </c>
    </row>
    <row r="146" spans="1:24" x14ac:dyDescent="0.25">
      <c r="B146" s="2" t="s">
        <v>86</v>
      </c>
      <c r="C146" s="2" t="s">
        <v>7</v>
      </c>
      <c r="D146" s="2">
        <v>246.09</v>
      </c>
      <c r="E146" s="2">
        <v>1315.68</v>
      </c>
      <c r="F146" s="2">
        <v>220.51</v>
      </c>
      <c r="G146" s="8">
        <f t="shared" ref="G146:G157" si="3">D146+(F146*(D146/E146))</f>
        <v>287.3350640733309</v>
      </c>
      <c r="R146" s="2" t="s">
        <v>85</v>
      </c>
      <c r="S146" s="1">
        <v>143.21</v>
      </c>
      <c r="T146" s="8">
        <f>S146+(X146*(S146/W146))</f>
        <v>150.79805187505571</v>
      </c>
      <c r="U146" s="2"/>
      <c r="V146" s="2"/>
      <c r="W146" s="2">
        <f>E146+S146</f>
        <v>1458.89</v>
      </c>
      <c r="X146" s="1">
        <f>F146-S146</f>
        <v>77.299999999999983</v>
      </c>
    </row>
    <row r="147" spans="1:24" ht="13" x14ac:dyDescent="0.3">
      <c r="A147" s="4"/>
      <c r="B147" s="2">
        <v>7</v>
      </c>
      <c r="C147" s="2" t="s">
        <v>8</v>
      </c>
      <c r="D147" s="2">
        <v>116.46</v>
      </c>
      <c r="E147" s="2">
        <v>1315.68</v>
      </c>
      <c r="F147" s="2">
        <v>220.51</v>
      </c>
      <c r="G147" s="8">
        <f t="shared" si="3"/>
        <v>135.97887586647209</v>
      </c>
    </row>
    <row r="148" spans="1:24" x14ac:dyDescent="0.25">
      <c r="B148" s="2" t="s">
        <v>81</v>
      </c>
      <c r="C148" s="2" t="s">
        <v>9</v>
      </c>
      <c r="D148" s="2">
        <v>116.47</v>
      </c>
      <c r="E148" s="2">
        <v>1315.68</v>
      </c>
      <c r="F148" s="2">
        <v>220.51</v>
      </c>
      <c r="G148" s="8">
        <f t="shared" si="3"/>
        <v>135.99055188191656</v>
      </c>
    </row>
    <row r="149" spans="1:24" x14ac:dyDescent="0.25">
      <c r="C149" s="2" t="s">
        <v>10</v>
      </c>
      <c r="D149" s="2">
        <v>336.33</v>
      </c>
      <c r="E149" s="2">
        <v>1315.68</v>
      </c>
      <c r="F149" s="2">
        <v>220.51</v>
      </c>
      <c r="G149" s="8">
        <f t="shared" si="3"/>
        <v>392.69942744436332</v>
      </c>
    </row>
    <row r="150" spans="1:24" x14ac:dyDescent="0.25">
      <c r="C150" s="2" t="s">
        <v>11</v>
      </c>
      <c r="D150" s="2">
        <v>116.5</v>
      </c>
      <c r="E150" s="2">
        <v>1315.68</v>
      </c>
      <c r="F150" s="2">
        <v>220.51</v>
      </c>
      <c r="G150" s="8">
        <f t="shared" si="3"/>
        <v>136.02557992825004</v>
      </c>
    </row>
    <row r="151" spans="1:24" x14ac:dyDescent="0.25">
      <c r="C151" s="2" t="s">
        <v>12</v>
      </c>
      <c r="D151" s="2">
        <v>116.52</v>
      </c>
      <c r="E151" s="2">
        <v>1315.68</v>
      </c>
      <c r="F151" s="2">
        <v>220.51</v>
      </c>
      <c r="G151" s="8">
        <f t="shared" si="3"/>
        <v>136.048931959139</v>
      </c>
    </row>
    <row r="152" spans="1:24" x14ac:dyDescent="0.25">
      <c r="C152" s="2" t="s">
        <v>13</v>
      </c>
      <c r="D152" s="2">
        <v>226.3</v>
      </c>
      <c r="E152" s="2">
        <v>1315.68</v>
      </c>
      <c r="F152" s="2">
        <v>220.51</v>
      </c>
      <c r="G152" s="8">
        <f t="shared" si="3"/>
        <v>264.22822950869511</v>
      </c>
    </row>
    <row r="153" spans="1:24" x14ac:dyDescent="0.25">
      <c r="C153" s="2" t="s">
        <v>22</v>
      </c>
      <c r="D153" s="2">
        <v>13.04</v>
      </c>
      <c r="E153" s="2">
        <v>1315.68</v>
      </c>
      <c r="F153" s="2">
        <v>220.51</v>
      </c>
      <c r="G153" s="8">
        <f t="shared" si="3"/>
        <v>15.225524139608414</v>
      </c>
    </row>
    <row r="154" spans="1:24" x14ac:dyDescent="0.25">
      <c r="C154" s="2" t="s">
        <v>22</v>
      </c>
      <c r="D154" s="2">
        <v>9.6999999999999993</v>
      </c>
      <c r="E154" s="2">
        <v>1315.68</v>
      </c>
      <c r="F154" s="2">
        <v>220.51</v>
      </c>
      <c r="G154" s="8">
        <f t="shared" si="3"/>
        <v>11.325734981150431</v>
      </c>
    </row>
    <row r="155" spans="1:24" x14ac:dyDescent="0.25">
      <c r="C155" s="2" t="s">
        <v>22</v>
      </c>
      <c r="D155" s="2">
        <v>8.01</v>
      </c>
      <c r="E155" s="2">
        <v>1315.68</v>
      </c>
      <c r="F155" s="2">
        <v>220.51</v>
      </c>
      <c r="G155" s="8">
        <f t="shared" si="3"/>
        <v>9.3524883710324698</v>
      </c>
    </row>
    <row r="156" spans="1:24" x14ac:dyDescent="0.25">
      <c r="C156" s="2" t="s">
        <v>22</v>
      </c>
      <c r="D156" s="2">
        <v>8.01</v>
      </c>
      <c r="E156" s="2">
        <v>1315.68</v>
      </c>
      <c r="F156" s="2">
        <v>220.51</v>
      </c>
      <c r="G156" s="8">
        <f t="shared" si="3"/>
        <v>9.3524883710324698</v>
      </c>
    </row>
    <row r="157" spans="1:24" x14ac:dyDescent="0.25">
      <c r="C157" s="2" t="s">
        <v>46</v>
      </c>
      <c r="D157" s="2">
        <v>2.25</v>
      </c>
      <c r="E157" s="2">
        <v>1315.68</v>
      </c>
      <c r="F157" s="2">
        <v>220.51</v>
      </c>
      <c r="G157" s="8">
        <f t="shared" si="3"/>
        <v>2.6271034750091209</v>
      </c>
    </row>
    <row r="158" spans="1:24" x14ac:dyDescent="0.25">
      <c r="C158" s="2"/>
    </row>
    <row r="159" spans="1:24" x14ac:dyDescent="0.25">
      <c r="B159" s="2" t="s">
        <v>17</v>
      </c>
      <c r="C159" s="2"/>
      <c r="D159" s="2">
        <f>SUM(D146:D157)</f>
        <v>1315.6799999999998</v>
      </c>
      <c r="G159" s="8">
        <f>SUM(G146:G157)</f>
        <v>1536.1899999999998</v>
      </c>
      <c r="I159" s="3">
        <f>SUM(G146:G152)</f>
        <v>1488.3066606621669</v>
      </c>
      <c r="J159" s="3">
        <f>SUM(D153:D156)</f>
        <v>38.76</v>
      </c>
      <c r="K159" s="3">
        <f>G157</f>
        <v>2.6271034750091209</v>
      </c>
      <c r="L159" s="3">
        <f>SUM(I159:K159)</f>
        <v>1529.693764137176</v>
      </c>
    </row>
    <row r="160" spans="1:24" x14ac:dyDescent="0.25">
      <c r="C160" s="2"/>
    </row>
    <row r="161" spans="1:14" s="4" customFormat="1" ht="13" x14ac:dyDescent="0.3">
      <c r="A161" s="1"/>
      <c r="B161" s="7" t="s">
        <v>40</v>
      </c>
      <c r="C161" s="7" t="s">
        <v>39</v>
      </c>
      <c r="D161" s="7" t="s">
        <v>38</v>
      </c>
      <c r="E161" s="7" t="s">
        <v>37</v>
      </c>
      <c r="F161" s="7" t="s">
        <v>36</v>
      </c>
      <c r="G161" s="7" t="s">
        <v>35</v>
      </c>
      <c r="I161" s="6"/>
      <c r="J161" s="6"/>
      <c r="K161" s="6"/>
      <c r="L161" s="6"/>
      <c r="M161" s="5"/>
      <c r="N161" s="5"/>
    </row>
    <row r="162" spans="1:14" x14ac:dyDescent="0.25">
      <c r="B162" s="2" t="s">
        <v>84</v>
      </c>
      <c r="C162" s="2" t="s">
        <v>7</v>
      </c>
      <c r="D162" s="2">
        <v>246.09</v>
      </c>
      <c r="E162" s="2">
        <v>1290.51</v>
      </c>
      <c r="F162" s="2">
        <v>246.71</v>
      </c>
      <c r="G162" s="8">
        <f t="shared" ref="G162:G170" si="4">D162+(F162*(D162/E162))</f>
        <v>293.13563614385009</v>
      </c>
    </row>
    <row r="163" spans="1:14" ht="13" x14ac:dyDescent="0.3">
      <c r="A163" s="4"/>
      <c r="B163" s="2">
        <v>8</v>
      </c>
      <c r="C163" s="2" t="s">
        <v>8</v>
      </c>
      <c r="D163" s="2">
        <v>116.46</v>
      </c>
      <c r="E163" s="2">
        <v>1290.51</v>
      </c>
      <c r="F163" s="2">
        <v>246.71</v>
      </c>
      <c r="G163" s="8">
        <f t="shared" si="4"/>
        <v>138.72394727665807</v>
      </c>
    </row>
    <row r="164" spans="1:14" x14ac:dyDescent="0.25">
      <c r="B164" s="2" t="s">
        <v>81</v>
      </c>
      <c r="C164" s="2" t="s">
        <v>9</v>
      </c>
      <c r="D164" s="2">
        <v>116.47</v>
      </c>
      <c r="E164" s="2">
        <v>1290.51</v>
      </c>
      <c r="F164" s="2">
        <v>246.71</v>
      </c>
      <c r="G164" s="8">
        <f t="shared" si="4"/>
        <v>138.73585900148004</v>
      </c>
    </row>
    <row r="165" spans="1:14" x14ac:dyDescent="0.25">
      <c r="C165" s="2" t="s">
        <v>10</v>
      </c>
      <c r="D165" s="2">
        <v>336.33</v>
      </c>
      <c r="E165" s="2">
        <v>1290.51</v>
      </c>
      <c r="F165" s="2">
        <v>246.71</v>
      </c>
      <c r="G165" s="8">
        <f t="shared" si="4"/>
        <v>400.62704093730383</v>
      </c>
    </row>
    <row r="166" spans="1:14" x14ac:dyDescent="0.25">
      <c r="C166" s="2" t="s">
        <v>11</v>
      </c>
      <c r="D166" s="2">
        <v>116.5</v>
      </c>
      <c r="E166" s="2">
        <v>1290.51</v>
      </c>
      <c r="F166" s="2">
        <v>246.71</v>
      </c>
      <c r="G166" s="8">
        <f t="shared" si="4"/>
        <v>138.77159417594595</v>
      </c>
    </row>
    <row r="167" spans="1:14" x14ac:dyDescent="0.25">
      <c r="C167" s="2" t="s">
        <v>12</v>
      </c>
      <c r="D167" s="2">
        <v>116.52</v>
      </c>
      <c r="E167" s="2">
        <v>1290.51</v>
      </c>
      <c r="F167" s="2">
        <v>246.71</v>
      </c>
      <c r="G167" s="8">
        <f t="shared" si="4"/>
        <v>138.79541762558989</v>
      </c>
    </row>
    <row r="168" spans="1:14" x14ac:dyDescent="0.25">
      <c r="C168" s="2" t="s">
        <v>13</v>
      </c>
      <c r="D168" s="2">
        <v>226.3</v>
      </c>
      <c r="E168" s="2">
        <v>1290.51</v>
      </c>
      <c r="F168" s="2">
        <v>246.71</v>
      </c>
      <c r="G168" s="8">
        <f t="shared" si="4"/>
        <v>269.56233272117225</v>
      </c>
    </row>
    <row r="169" spans="1:14" x14ac:dyDescent="0.25">
      <c r="C169" s="2" t="s">
        <v>22</v>
      </c>
      <c r="D169" s="2">
        <v>7.92</v>
      </c>
      <c r="E169" s="2">
        <v>1290.51</v>
      </c>
      <c r="F169" s="2">
        <v>246.71</v>
      </c>
      <c r="G169" s="8">
        <f t="shared" si="4"/>
        <v>9.4340860589999309</v>
      </c>
    </row>
    <row r="170" spans="1:14" x14ac:dyDescent="0.25">
      <c r="C170" s="2" t="s">
        <v>22</v>
      </c>
      <c r="D170" s="2">
        <v>7.92</v>
      </c>
      <c r="E170" s="2">
        <v>1290.51</v>
      </c>
      <c r="F170" s="2">
        <v>246.71</v>
      </c>
      <c r="G170" s="8">
        <f t="shared" si="4"/>
        <v>9.4340860589999309</v>
      </c>
    </row>
    <row r="171" spans="1:14" x14ac:dyDescent="0.25">
      <c r="C171" s="2"/>
    </row>
    <row r="172" spans="1:14" x14ac:dyDescent="0.25">
      <c r="B172" s="2" t="s">
        <v>17</v>
      </c>
      <c r="C172" s="2"/>
      <c r="D172" s="2">
        <f>SUM(D162:D170)</f>
        <v>1290.51</v>
      </c>
      <c r="G172" s="8">
        <f>SUM(G162:G170)</f>
        <v>1537.22</v>
      </c>
      <c r="I172" s="3">
        <f>SUM(G162:G168)</f>
        <v>1518.351827882</v>
      </c>
      <c r="J172" s="3">
        <f>SUM(D169:D170)</f>
        <v>15.84</v>
      </c>
      <c r="K172" s="3">
        <v>0</v>
      </c>
      <c r="L172" s="3">
        <f>SUM(I172:K172)</f>
        <v>1534.1918278819999</v>
      </c>
    </row>
    <row r="173" spans="1:14" x14ac:dyDescent="0.25">
      <c r="C173" s="2"/>
    </row>
    <row r="174" spans="1:14" s="4" customFormat="1" ht="13" x14ac:dyDescent="0.3">
      <c r="A174" s="1"/>
      <c r="B174" s="7" t="s">
        <v>40</v>
      </c>
      <c r="C174" s="7" t="s">
        <v>39</v>
      </c>
      <c r="D174" s="7" t="s">
        <v>38</v>
      </c>
      <c r="E174" s="7" t="s">
        <v>37</v>
      </c>
      <c r="F174" s="7" t="s">
        <v>36</v>
      </c>
      <c r="G174" s="7" t="s">
        <v>35</v>
      </c>
      <c r="I174" s="6"/>
      <c r="J174" s="6"/>
      <c r="K174" s="6"/>
      <c r="L174" s="6"/>
      <c r="M174" s="5"/>
      <c r="N174" s="5"/>
    </row>
    <row r="175" spans="1:14" x14ac:dyDescent="0.25">
      <c r="B175" s="2" t="s">
        <v>83</v>
      </c>
      <c r="C175" s="2" t="s">
        <v>7</v>
      </c>
      <c r="D175" s="2">
        <v>246.09</v>
      </c>
      <c r="E175" s="2">
        <v>1302.57</v>
      </c>
      <c r="F175" s="2">
        <v>235.49</v>
      </c>
      <c r="G175" s="8">
        <f t="shared" ref="G175:G183" si="5">D175+(F175*(D175/E175))</f>
        <v>290.58030309311596</v>
      </c>
    </row>
    <row r="176" spans="1:14" ht="13" x14ac:dyDescent="0.3">
      <c r="A176" s="4"/>
      <c r="B176" s="2">
        <v>9</v>
      </c>
      <c r="C176" s="2" t="s">
        <v>8</v>
      </c>
      <c r="D176" s="2">
        <v>116.46</v>
      </c>
      <c r="E176" s="2">
        <v>1302.57</v>
      </c>
      <c r="F176" s="2">
        <v>235.49</v>
      </c>
      <c r="G176" s="8">
        <f t="shared" si="5"/>
        <v>137.51465763836109</v>
      </c>
    </row>
    <row r="177" spans="1:14" x14ac:dyDescent="0.25">
      <c r="B177" s="2" t="s">
        <v>81</v>
      </c>
      <c r="C177" s="2" t="s">
        <v>9</v>
      </c>
      <c r="D177" s="2">
        <v>116.47</v>
      </c>
      <c r="E177" s="2">
        <v>1302.57</v>
      </c>
      <c r="F177" s="2">
        <v>235.49</v>
      </c>
      <c r="G177" s="8">
        <f t="shared" si="5"/>
        <v>137.52646552584505</v>
      </c>
    </row>
    <row r="178" spans="1:14" x14ac:dyDescent="0.25">
      <c r="C178" s="2" t="s">
        <v>10</v>
      </c>
      <c r="D178" s="2">
        <v>336.33</v>
      </c>
      <c r="E178" s="2">
        <v>1302.57</v>
      </c>
      <c r="F178" s="2">
        <v>235.49</v>
      </c>
      <c r="G178" s="8">
        <f t="shared" si="5"/>
        <v>397.13467974849721</v>
      </c>
    </row>
    <row r="179" spans="1:14" x14ac:dyDescent="0.25">
      <c r="C179" s="2" t="s">
        <v>11</v>
      </c>
      <c r="D179" s="2">
        <v>116.5</v>
      </c>
      <c r="E179" s="2">
        <v>1302.57</v>
      </c>
      <c r="F179" s="2">
        <v>235.49</v>
      </c>
      <c r="G179" s="8">
        <f t="shared" si="5"/>
        <v>137.56188918829699</v>
      </c>
    </row>
    <row r="180" spans="1:14" x14ac:dyDescent="0.25">
      <c r="C180" s="2" t="s">
        <v>12</v>
      </c>
      <c r="D180" s="2">
        <v>116.52</v>
      </c>
      <c r="E180" s="2">
        <v>1302.57</v>
      </c>
      <c r="F180" s="2">
        <v>235.49</v>
      </c>
      <c r="G180" s="8">
        <f t="shared" si="5"/>
        <v>137.58550496326492</v>
      </c>
    </row>
    <row r="181" spans="1:14" x14ac:dyDescent="0.25">
      <c r="C181" s="2" t="s">
        <v>13</v>
      </c>
      <c r="D181" s="2">
        <v>226.29</v>
      </c>
      <c r="E181" s="2">
        <v>1302.57</v>
      </c>
      <c r="F181" s="2">
        <v>235.49</v>
      </c>
      <c r="G181" s="8">
        <f t="shared" si="5"/>
        <v>267.20068587484741</v>
      </c>
    </row>
    <row r="182" spans="1:14" x14ac:dyDescent="0.25">
      <c r="C182" s="2" t="s">
        <v>22</v>
      </c>
      <c r="D182" s="2">
        <v>13.04</v>
      </c>
      <c r="E182" s="2">
        <v>1302.57</v>
      </c>
      <c r="F182" s="2">
        <v>235.49</v>
      </c>
      <c r="G182" s="8">
        <f t="shared" si="5"/>
        <v>15.397485279102082</v>
      </c>
    </row>
    <row r="183" spans="1:14" x14ac:dyDescent="0.25">
      <c r="C183" s="2" t="s">
        <v>22</v>
      </c>
      <c r="D183" s="2">
        <v>14.87</v>
      </c>
      <c r="E183" s="2">
        <v>1302.57</v>
      </c>
      <c r="F183" s="2">
        <v>235.49</v>
      </c>
      <c r="G183" s="8">
        <f t="shared" si="5"/>
        <v>17.558328688669324</v>
      </c>
    </row>
    <row r="184" spans="1:14" x14ac:dyDescent="0.25">
      <c r="C184" s="2"/>
    </row>
    <row r="185" spans="1:14" x14ac:dyDescent="0.25">
      <c r="B185" s="2" t="s">
        <v>17</v>
      </c>
      <c r="C185" s="2"/>
      <c r="D185" s="2">
        <f>SUM(D175:D183)</f>
        <v>1302.5699999999997</v>
      </c>
      <c r="G185" s="2">
        <f>SUM(G175:G183)</f>
        <v>1538.0599999999997</v>
      </c>
      <c r="I185" s="3">
        <f>SUM(G175:G181)</f>
        <v>1505.1041860322284</v>
      </c>
      <c r="J185" s="3">
        <f>SUM(D182:D183)</f>
        <v>27.909999999999997</v>
      </c>
      <c r="K185" s="3">
        <v>0</v>
      </c>
      <c r="L185" s="3">
        <f>SUM(I185:K185)</f>
        <v>1533.0141860322285</v>
      </c>
    </row>
    <row r="186" spans="1:14" x14ac:dyDescent="0.25">
      <c r="C186" s="2"/>
    </row>
    <row r="187" spans="1:14" s="4" customFormat="1" ht="13" x14ac:dyDescent="0.3">
      <c r="A187" s="1"/>
      <c r="B187" s="7" t="s">
        <v>40</v>
      </c>
      <c r="C187" s="7" t="s">
        <v>39</v>
      </c>
      <c r="D187" s="7" t="s">
        <v>38</v>
      </c>
      <c r="E187" s="7" t="s">
        <v>37</v>
      </c>
      <c r="F187" s="7" t="s">
        <v>36</v>
      </c>
      <c r="G187" s="7" t="s">
        <v>35</v>
      </c>
      <c r="I187" s="6"/>
      <c r="J187" s="6"/>
      <c r="K187" s="6"/>
      <c r="L187" s="6"/>
      <c r="M187" s="5"/>
      <c r="N187" s="5"/>
    </row>
    <row r="188" spans="1:14" x14ac:dyDescent="0.25">
      <c r="B188" s="2" t="s">
        <v>82</v>
      </c>
      <c r="C188" s="2" t="s">
        <v>7</v>
      </c>
      <c r="D188" s="2">
        <v>246.09</v>
      </c>
      <c r="E188" s="2">
        <v>1315.66</v>
      </c>
      <c r="F188" s="2">
        <v>220.51</v>
      </c>
      <c r="G188" s="8">
        <f t="shared" ref="G188:G199" si="6">D188+(F188*(D188/E188))</f>
        <v>287.33569106000033</v>
      </c>
    </row>
    <row r="189" spans="1:14" ht="13" x14ac:dyDescent="0.3">
      <c r="A189" s="4"/>
      <c r="B189" s="2">
        <v>10</v>
      </c>
      <c r="C189" s="1" t="s">
        <v>8</v>
      </c>
      <c r="D189" s="2">
        <v>116.46</v>
      </c>
      <c r="E189" s="2">
        <v>1315.66</v>
      </c>
      <c r="F189" s="2">
        <v>220.51</v>
      </c>
      <c r="G189" s="8">
        <f t="shared" si="6"/>
        <v>135.97917258258212</v>
      </c>
    </row>
    <row r="190" spans="1:14" x14ac:dyDescent="0.25">
      <c r="B190" s="2" t="s">
        <v>81</v>
      </c>
      <c r="C190" s="2" t="s">
        <v>9</v>
      </c>
      <c r="D190" s="2">
        <v>116.47</v>
      </c>
      <c r="E190" s="2">
        <v>1315.66</v>
      </c>
      <c r="F190" s="2">
        <v>220.51</v>
      </c>
      <c r="G190" s="8">
        <f t="shared" si="6"/>
        <v>135.99084862350455</v>
      </c>
    </row>
    <row r="191" spans="1:14" x14ac:dyDescent="0.25">
      <c r="C191" s="2" t="s">
        <v>10</v>
      </c>
      <c r="D191" s="2">
        <v>336.33</v>
      </c>
      <c r="E191" s="2">
        <v>1315.66</v>
      </c>
      <c r="F191" s="2">
        <v>220.51</v>
      </c>
      <c r="G191" s="8">
        <f t="shared" si="6"/>
        <v>392.70028434397943</v>
      </c>
    </row>
    <row r="192" spans="1:14" x14ac:dyDescent="0.25">
      <c r="C192" s="2" t="s">
        <v>11</v>
      </c>
      <c r="D192" s="2">
        <v>116.5</v>
      </c>
      <c r="E192" s="2">
        <v>1315.66</v>
      </c>
      <c r="F192" s="2">
        <v>220.51</v>
      </c>
      <c r="G192" s="8">
        <f t="shared" si="6"/>
        <v>136.02587674627182</v>
      </c>
    </row>
    <row r="193" spans="1:14" x14ac:dyDescent="0.25">
      <c r="C193" s="2" t="s">
        <v>12</v>
      </c>
      <c r="D193" s="2">
        <v>116.52</v>
      </c>
      <c r="E193" s="2">
        <v>1315.66</v>
      </c>
      <c r="F193" s="2">
        <v>220.51</v>
      </c>
      <c r="G193" s="8">
        <f t="shared" si="6"/>
        <v>136.04922882811667</v>
      </c>
    </row>
    <row r="194" spans="1:14" x14ac:dyDescent="0.25">
      <c r="C194" s="2" t="s">
        <v>13</v>
      </c>
      <c r="D194" s="2">
        <v>226.3</v>
      </c>
      <c r="E194" s="2">
        <v>1315.66</v>
      </c>
      <c r="F194" s="2">
        <v>220.51</v>
      </c>
      <c r="G194" s="8">
        <f t="shared" si="6"/>
        <v>264.22880607451776</v>
      </c>
    </row>
    <row r="195" spans="1:14" x14ac:dyDescent="0.25">
      <c r="C195" s="2" t="s">
        <v>22</v>
      </c>
      <c r="D195" s="2">
        <v>13.04</v>
      </c>
      <c r="E195" s="2">
        <v>1315.66</v>
      </c>
      <c r="F195" s="2">
        <v>220.51</v>
      </c>
      <c r="G195" s="8">
        <f t="shared" si="6"/>
        <v>15.225557362844503</v>
      </c>
    </row>
    <row r="196" spans="1:14" x14ac:dyDescent="0.25">
      <c r="C196" s="2" t="s">
        <v>22</v>
      </c>
      <c r="D196" s="2">
        <v>9.6999999999999993</v>
      </c>
      <c r="E196" s="2">
        <v>1315.66</v>
      </c>
      <c r="F196" s="2">
        <v>220.51</v>
      </c>
      <c r="G196" s="8">
        <f t="shared" si="6"/>
        <v>11.325759694753962</v>
      </c>
    </row>
    <row r="197" spans="1:14" x14ac:dyDescent="0.25">
      <c r="C197" s="2" t="s">
        <v>22</v>
      </c>
      <c r="D197" s="2">
        <v>8</v>
      </c>
      <c r="E197" s="2">
        <v>1315.66</v>
      </c>
      <c r="F197" s="2">
        <v>220.51</v>
      </c>
      <c r="G197" s="8">
        <f t="shared" si="6"/>
        <v>9.3408327379414136</v>
      </c>
    </row>
    <row r="198" spans="1:14" x14ac:dyDescent="0.25">
      <c r="C198" s="2" t="s">
        <v>22</v>
      </c>
      <c r="D198" s="2">
        <v>8</v>
      </c>
      <c r="E198" s="2">
        <v>1315.66</v>
      </c>
      <c r="F198" s="2">
        <v>220.51</v>
      </c>
      <c r="G198" s="8">
        <f t="shared" si="6"/>
        <v>9.3408327379414136</v>
      </c>
    </row>
    <row r="199" spans="1:14" x14ac:dyDescent="0.25">
      <c r="C199" s="2" t="s">
        <v>46</v>
      </c>
      <c r="D199" s="2">
        <v>2.25</v>
      </c>
      <c r="E199" s="2">
        <v>1315.66</v>
      </c>
      <c r="F199" s="2">
        <v>220.51</v>
      </c>
      <c r="G199" s="8">
        <f t="shared" si="6"/>
        <v>2.6271092075460225</v>
      </c>
    </row>
    <row r="201" spans="1:14" x14ac:dyDescent="0.25">
      <c r="B201" s="2" t="s">
        <v>17</v>
      </c>
      <c r="D201" s="2">
        <f>SUM(D188:D199)</f>
        <v>1315.6599999999999</v>
      </c>
      <c r="G201" s="2">
        <f>SUM(G188:G199)</f>
        <v>1536.1699999999996</v>
      </c>
      <c r="I201" s="3">
        <f>SUM(G188:G194)</f>
        <v>1488.3099082589724</v>
      </c>
      <c r="J201" s="3">
        <f>SUM(D195:D198)</f>
        <v>38.739999999999995</v>
      </c>
      <c r="K201" s="3">
        <f>SUM(G199)</f>
        <v>2.6271092075460225</v>
      </c>
      <c r="L201" s="3">
        <f>SUM(I201:K201)</f>
        <v>1529.6770174665185</v>
      </c>
    </row>
    <row r="203" spans="1:14" s="4" customFormat="1" ht="13" x14ac:dyDescent="0.3">
      <c r="A203" s="1"/>
      <c r="B203" s="7" t="s">
        <v>40</v>
      </c>
      <c r="C203" s="7" t="s">
        <v>39</v>
      </c>
      <c r="D203" s="7" t="s">
        <v>38</v>
      </c>
      <c r="E203" s="7" t="s">
        <v>37</v>
      </c>
      <c r="F203" s="7" t="s">
        <v>36</v>
      </c>
      <c r="G203" s="7" t="s">
        <v>35</v>
      </c>
      <c r="I203" s="6"/>
      <c r="J203" s="6"/>
      <c r="K203" s="6"/>
      <c r="L203" s="6"/>
      <c r="M203" s="5"/>
      <c r="N203" s="5"/>
    </row>
    <row r="204" spans="1:14" x14ac:dyDescent="0.25">
      <c r="B204" s="2" t="s">
        <v>80</v>
      </c>
      <c r="C204" s="1" t="s">
        <v>7</v>
      </c>
      <c r="D204" s="2">
        <v>411.02</v>
      </c>
      <c r="E204" s="2">
        <v>1336.09</v>
      </c>
      <c r="F204" s="2">
        <v>201.54</v>
      </c>
      <c r="G204" s="8">
        <f t="shared" ref="G204:G212" si="7">D204+(F204*(D204/E204))</f>
        <v>473.01954404269173</v>
      </c>
    </row>
    <row r="205" spans="1:14" ht="13" x14ac:dyDescent="0.3">
      <c r="A205" s="4"/>
      <c r="B205" s="2">
        <v>11</v>
      </c>
      <c r="C205" s="1" t="s">
        <v>8</v>
      </c>
      <c r="D205" s="2">
        <v>116.46</v>
      </c>
      <c r="E205" s="2">
        <v>1336.09</v>
      </c>
      <c r="F205" s="2">
        <v>201.54</v>
      </c>
      <c r="G205" s="8">
        <f t="shared" si="7"/>
        <v>134.02719113233388</v>
      </c>
    </row>
    <row r="206" spans="1:14" x14ac:dyDescent="0.25">
      <c r="B206" s="2" t="s">
        <v>66</v>
      </c>
      <c r="C206" s="1" t="s">
        <v>9</v>
      </c>
      <c r="D206" s="2">
        <v>116.47</v>
      </c>
      <c r="E206" s="2">
        <v>1336.09</v>
      </c>
      <c r="F206" s="2">
        <v>201.54</v>
      </c>
      <c r="G206" s="8">
        <f t="shared" si="7"/>
        <v>134.03869956365216</v>
      </c>
    </row>
    <row r="207" spans="1:14" x14ac:dyDescent="0.25">
      <c r="C207" s="1" t="s">
        <v>10</v>
      </c>
      <c r="D207" s="2">
        <v>246.21</v>
      </c>
      <c r="E207" s="2">
        <v>1336.09</v>
      </c>
      <c r="F207" s="2">
        <v>201.54</v>
      </c>
      <c r="G207" s="8">
        <f t="shared" si="7"/>
        <v>283.34908748662144</v>
      </c>
    </row>
    <row r="208" spans="1:14" x14ac:dyDescent="0.25">
      <c r="C208" s="1" t="s">
        <v>11</v>
      </c>
      <c r="D208" s="2">
        <v>196.96</v>
      </c>
      <c r="E208" s="2">
        <v>1336.09</v>
      </c>
      <c r="F208" s="2">
        <v>201.54</v>
      </c>
      <c r="G208" s="8">
        <f t="shared" si="7"/>
        <v>226.67006324424253</v>
      </c>
    </row>
    <row r="209" spans="1:14" x14ac:dyDescent="0.25">
      <c r="C209" s="1" t="s">
        <v>12</v>
      </c>
      <c r="D209" s="2">
        <v>116.47</v>
      </c>
      <c r="E209" s="2">
        <v>1336.09</v>
      </c>
      <c r="F209" s="2">
        <v>201.54</v>
      </c>
      <c r="G209" s="8">
        <f t="shared" si="7"/>
        <v>134.03869956365216</v>
      </c>
    </row>
    <row r="210" spans="1:14" x14ac:dyDescent="0.25">
      <c r="C210" s="1" t="s">
        <v>13</v>
      </c>
      <c r="D210" s="2">
        <v>116.49</v>
      </c>
      <c r="E210" s="2">
        <v>1336.09</v>
      </c>
      <c r="F210" s="2">
        <v>201.54</v>
      </c>
      <c r="G210" s="8">
        <f t="shared" si="7"/>
        <v>134.06171642628863</v>
      </c>
    </row>
    <row r="211" spans="1:14" x14ac:dyDescent="0.25">
      <c r="C211" s="1" t="s">
        <v>22</v>
      </c>
      <c r="D211" s="2">
        <v>7.49</v>
      </c>
      <c r="E211" s="2">
        <v>1336.09</v>
      </c>
      <c r="F211" s="2">
        <v>201.54</v>
      </c>
      <c r="G211" s="8">
        <f t="shared" si="7"/>
        <v>8.6198150573688892</v>
      </c>
    </row>
    <row r="212" spans="1:14" x14ac:dyDescent="0.25">
      <c r="C212" s="1" t="s">
        <v>22</v>
      </c>
      <c r="D212" s="2">
        <v>8.52</v>
      </c>
      <c r="E212" s="2">
        <v>1336.09</v>
      </c>
      <c r="F212" s="2">
        <v>201.54</v>
      </c>
      <c r="G212" s="8">
        <f t="shared" si="7"/>
        <v>9.8051834831485891</v>
      </c>
    </row>
    <row r="214" spans="1:14" x14ac:dyDescent="0.25">
      <c r="B214" s="2" t="s">
        <v>17</v>
      </c>
      <c r="D214" s="2">
        <f>SUM(D204:D212)</f>
        <v>1336.0900000000001</v>
      </c>
      <c r="G214" s="2">
        <f>SUM(G204:G212)</f>
        <v>1537.6299999999999</v>
      </c>
      <c r="I214" s="3">
        <f>SUM(G204:G210)</f>
        <v>1519.2050014594824</v>
      </c>
      <c r="J214" s="3">
        <f>SUM(D211:D212)</f>
        <v>16.009999999999998</v>
      </c>
      <c r="K214" s="3">
        <v>0</v>
      </c>
      <c r="L214" s="3">
        <f>SUM(I214:K214)</f>
        <v>1535.2150014594824</v>
      </c>
    </row>
    <row r="216" spans="1:14" s="4" customFormat="1" ht="13" x14ac:dyDescent="0.3">
      <c r="A216" s="1"/>
      <c r="B216" s="7" t="s">
        <v>40</v>
      </c>
      <c r="C216" s="7" t="s">
        <v>39</v>
      </c>
      <c r="D216" s="7" t="s">
        <v>38</v>
      </c>
      <c r="E216" s="7" t="s">
        <v>37</v>
      </c>
      <c r="F216" s="7" t="s">
        <v>36</v>
      </c>
      <c r="G216" s="7" t="s">
        <v>35</v>
      </c>
      <c r="I216" s="6"/>
      <c r="J216" s="6"/>
      <c r="K216" s="6"/>
      <c r="L216" s="6"/>
      <c r="M216" s="5"/>
      <c r="N216" s="5"/>
    </row>
    <row r="217" spans="1:14" x14ac:dyDescent="0.25">
      <c r="B217" s="2" t="s">
        <v>79</v>
      </c>
      <c r="C217" s="1" t="s">
        <v>7</v>
      </c>
      <c r="D217" s="2">
        <v>412.34</v>
      </c>
      <c r="E217" s="2">
        <v>1291.3399999999999</v>
      </c>
      <c r="F217" s="2">
        <v>274.35000000000002</v>
      </c>
      <c r="G217" s="8">
        <f t="shared" ref="G217:G223" si="8">D217+(F217*(D217/E217))</f>
        <v>499.94317112456827</v>
      </c>
    </row>
    <row r="218" spans="1:14" ht="13" x14ac:dyDescent="0.3">
      <c r="A218" s="4"/>
      <c r="B218" s="2">
        <v>12</v>
      </c>
      <c r="C218" s="1" t="s">
        <v>8</v>
      </c>
      <c r="D218" s="2">
        <v>117.06</v>
      </c>
      <c r="E218" s="2">
        <v>1291.3399999999999</v>
      </c>
      <c r="F218" s="2">
        <v>274.35000000000002</v>
      </c>
      <c r="G218" s="8">
        <f t="shared" si="8"/>
        <v>141.92983366115817</v>
      </c>
    </row>
    <row r="219" spans="1:14" x14ac:dyDescent="0.25">
      <c r="B219" s="2" t="s">
        <v>66</v>
      </c>
      <c r="C219" s="1" t="s">
        <v>9</v>
      </c>
      <c r="D219" s="2">
        <v>117.07</v>
      </c>
      <c r="E219" s="2">
        <v>1291.3399999999999</v>
      </c>
      <c r="F219" s="2">
        <v>274.35000000000002</v>
      </c>
      <c r="G219" s="8">
        <f t="shared" si="8"/>
        <v>141.9419581984605</v>
      </c>
    </row>
    <row r="220" spans="1:14" x14ac:dyDescent="0.25">
      <c r="C220" s="1" t="s">
        <v>10</v>
      </c>
      <c r="D220" s="2">
        <v>229.26</v>
      </c>
      <c r="E220" s="2">
        <v>1291.3399999999999</v>
      </c>
      <c r="F220" s="2">
        <v>274.35000000000002</v>
      </c>
      <c r="G220" s="8">
        <f t="shared" si="8"/>
        <v>277.96714219338054</v>
      </c>
    </row>
    <row r="221" spans="1:14" x14ac:dyDescent="0.25">
      <c r="C221" s="1" t="s">
        <v>11</v>
      </c>
      <c r="D221" s="2">
        <v>181.44</v>
      </c>
      <c r="E221" s="2">
        <v>1291.3399999999999</v>
      </c>
      <c r="F221" s="2">
        <v>274.35000000000002</v>
      </c>
      <c r="G221" s="8">
        <f t="shared" si="8"/>
        <v>219.98760481360449</v>
      </c>
    </row>
    <row r="222" spans="1:14" x14ac:dyDescent="0.25">
      <c r="C222" s="1" t="s">
        <v>12</v>
      </c>
      <c r="D222" s="2">
        <v>117.07</v>
      </c>
      <c r="E222" s="2">
        <v>1291.3399999999999</v>
      </c>
      <c r="F222" s="2">
        <v>274.35000000000002</v>
      </c>
      <c r="G222" s="8">
        <f t="shared" si="8"/>
        <v>141.9419581984605</v>
      </c>
    </row>
    <row r="223" spans="1:14" x14ac:dyDescent="0.25">
      <c r="C223" s="1" t="s">
        <v>13</v>
      </c>
      <c r="D223" s="2">
        <v>117.1</v>
      </c>
      <c r="E223" s="2">
        <v>1291.3399999999999</v>
      </c>
      <c r="F223" s="2">
        <v>274.35000000000002</v>
      </c>
      <c r="G223" s="8">
        <f t="shared" si="8"/>
        <v>141.97833181036754</v>
      </c>
    </row>
    <row r="225" spans="1:14" x14ac:dyDescent="0.25">
      <c r="B225" s="2" t="s">
        <v>17</v>
      </c>
      <c r="D225" s="2">
        <f>SUM(D217:D223)</f>
        <v>1291.3399999999999</v>
      </c>
      <c r="G225" s="2">
        <f>SUM(G217:G223)</f>
        <v>1565.69</v>
      </c>
      <c r="I225" s="3">
        <f>SUM(G217:G223)</f>
        <v>1565.69</v>
      </c>
      <c r="J225" s="3">
        <v>0</v>
      </c>
      <c r="K225" s="3">
        <v>0</v>
      </c>
      <c r="L225" s="3">
        <f>SUM(I225:K225)</f>
        <v>1565.69</v>
      </c>
    </row>
    <row r="226" spans="1:14" ht="13" x14ac:dyDescent="0.3">
      <c r="I226" s="6"/>
      <c r="J226" s="6"/>
      <c r="K226" s="6"/>
    </row>
    <row r="227" spans="1:14" s="4" customFormat="1" ht="13" x14ac:dyDescent="0.3">
      <c r="A227" s="1"/>
      <c r="B227" s="7" t="s">
        <v>40</v>
      </c>
      <c r="C227" s="7" t="s">
        <v>39</v>
      </c>
      <c r="D227" s="7" t="s">
        <v>38</v>
      </c>
      <c r="E227" s="7" t="s">
        <v>37</v>
      </c>
      <c r="F227" s="7" t="s">
        <v>36</v>
      </c>
      <c r="G227" s="7" t="s">
        <v>35</v>
      </c>
      <c r="I227" s="6"/>
      <c r="J227" s="6"/>
      <c r="K227" s="6"/>
      <c r="L227" s="6"/>
    </row>
    <row r="228" spans="1:14" x14ac:dyDescent="0.25">
      <c r="B228" s="2" t="s">
        <v>78</v>
      </c>
      <c r="C228" s="1" t="s">
        <v>7</v>
      </c>
      <c r="D228" s="2">
        <v>373.38</v>
      </c>
      <c r="E228" s="2">
        <v>1331.49</v>
      </c>
      <c r="F228" s="2">
        <v>234.38</v>
      </c>
      <c r="G228" s="8">
        <f t="shared" ref="G228:G237" si="9">D228+(F228*(D228/E228))</f>
        <v>439.10546876056151</v>
      </c>
      <c r="M228" s="1"/>
      <c r="N228" s="1"/>
    </row>
    <row r="229" spans="1:14" ht="13" x14ac:dyDescent="0.3">
      <c r="A229" s="4"/>
      <c r="B229" s="2">
        <v>15</v>
      </c>
      <c r="C229" s="1" t="s">
        <v>8</v>
      </c>
      <c r="D229" s="2">
        <v>117.06</v>
      </c>
      <c r="E229" s="2">
        <v>1331.49</v>
      </c>
      <c r="F229" s="2">
        <v>234.38</v>
      </c>
      <c r="G229" s="8">
        <f t="shared" si="9"/>
        <v>137.66587972872497</v>
      </c>
      <c r="M229" s="1"/>
      <c r="N229" s="1"/>
    </row>
    <row r="230" spans="1:14" x14ac:dyDescent="0.25">
      <c r="B230" s="2" t="s">
        <v>66</v>
      </c>
      <c r="C230" s="1" t="s">
        <v>9</v>
      </c>
      <c r="D230" s="2">
        <v>117.07</v>
      </c>
      <c r="E230" s="2">
        <v>1331.49</v>
      </c>
      <c r="F230" s="2">
        <v>234.38</v>
      </c>
      <c r="G230" s="8">
        <f t="shared" si="9"/>
        <v>137.67764001231703</v>
      </c>
      <c r="M230" s="1"/>
      <c r="N230" s="1"/>
    </row>
    <row r="231" spans="1:14" x14ac:dyDescent="0.25">
      <c r="C231" s="1" t="s">
        <v>10</v>
      </c>
      <c r="D231" s="2">
        <v>260.99</v>
      </c>
      <c r="E231" s="2">
        <v>1331.49</v>
      </c>
      <c r="F231" s="2">
        <v>234.38</v>
      </c>
      <c r="G231" s="8">
        <f t="shared" si="9"/>
        <v>306.93164146933134</v>
      </c>
      <c r="M231" s="1"/>
      <c r="N231" s="1"/>
    </row>
    <row r="232" spans="1:14" x14ac:dyDescent="0.25">
      <c r="C232" s="1" t="s">
        <v>11</v>
      </c>
      <c r="D232" s="2">
        <v>213.43</v>
      </c>
      <c r="E232" s="2">
        <v>1331.49</v>
      </c>
      <c r="F232" s="2">
        <v>234.38</v>
      </c>
      <c r="G232" s="8">
        <f t="shared" si="9"/>
        <v>250.99973270546531</v>
      </c>
      <c r="M232" s="1"/>
      <c r="N232" s="1"/>
    </row>
    <row r="233" spans="1:14" x14ac:dyDescent="0.25">
      <c r="C233" s="1" t="s">
        <v>12</v>
      </c>
      <c r="D233" s="2">
        <v>117.07</v>
      </c>
      <c r="E233" s="2">
        <v>1331.49</v>
      </c>
      <c r="F233" s="2">
        <v>234.38</v>
      </c>
      <c r="G233" s="8">
        <f t="shared" si="9"/>
        <v>137.67764001231703</v>
      </c>
      <c r="M233" s="1"/>
      <c r="N233" s="1"/>
    </row>
    <row r="234" spans="1:14" x14ac:dyDescent="0.25">
      <c r="C234" s="1" t="s">
        <v>13</v>
      </c>
      <c r="D234" s="2">
        <v>117.1</v>
      </c>
      <c r="E234" s="2">
        <v>1331.49</v>
      </c>
      <c r="F234" s="2">
        <v>234.38</v>
      </c>
      <c r="G234" s="8">
        <f t="shared" si="9"/>
        <v>137.71292086309322</v>
      </c>
      <c r="M234" s="1"/>
      <c r="N234" s="1"/>
    </row>
    <row r="235" spans="1:14" x14ac:dyDescent="0.25">
      <c r="C235" s="1" t="s">
        <v>22</v>
      </c>
      <c r="D235" s="2">
        <v>7.38</v>
      </c>
      <c r="E235" s="2">
        <v>1331.49</v>
      </c>
      <c r="F235" s="2">
        <v>234.38</v>
      </c>
      <c r="G235" s="8">
        <f t="shared" si="9"/>
        <v>8.6790892909447308</v>
      </c>
      <c r="M235" s="1"/>
      <c r="N235" s="1"/>
    </row>
    <row r="236" spans="1:14" x14ac:dyDescent="0.25">
      <c r="C236" s="1" t="s">
        <v>22</v>
      </c>
      <c r="D236" s="2">
        <v>5.46</v>
      </c>
      <c r="E236" s="2">
        <v>1331.49</v>
      </c>
      <c r="F236" s="2">
        <v>234.38</v>
      </c>
      <c r="G236" s="8">
        <f t="shared" si="9"/>
        <v>6.4211148412680528</v>
      </c>
      <c r="M236" s="1"/>
      <c r="N236" s="1"/>
    </row>
    <row r="237" spans="1:14" x14ac:dyDescent="0.25">
      <c r="C237" s="1" t="s">
        <v>46</v>
      </c>
      <c r="D237" s="2">
        <v>2.5499999999999998</v>
      </c>
      <c r="E237" s="2">
        <v>1331.49</v>
      </c>
      <c r="F237" s="2">
        <v>234.38</v>
      </c>
      <c r="G237" s="8">
        <f t="shared" si="9"/>
        <v>2.998872315976838</v>
      </c>
      <c r="M237" s="1"/>
      <c r="N237" s="1"/>
    </row>
    <row r="238" spans="1:14" x14ac:dyDescent="0.25">
      <c r="M238" s="1"/>
      <c r="N238" s="1"/>
    </row>
    <row r="239" spans="1:14" x14ac:dyDescent="0.25">
      <c r="M239" s="1"/>
      <c r="N239" s="1"/>
    </row>
    <row r="240" spans="1:14" x14ac:dyDescent="0.25">
      <c r="B240" s="2" t="s">
        <v>17</v>
      </c>
      <c r="D240" s="2">
        <f>SUM(D228:D237)</f>
        <v>1331.49</v>
      </c>
      <c r="G240" s="2">
        <f>SUM(G228:G237)</f>
        <v>1565.87</v>
      </c>
      <c r="I240" s="3">
        <f>SUM(G228:G234)</f>
        <v>1547.7709235518103</v>
      </c>
      <c r="J240" s="3">
        <f>SUM(D235:D236)</f>
        <v>12.84</v>
      </c>
      <c r="K240" s="3">
        <f>G237</f>
        <v>2.998872315976838</v>
      </c>
      <c r="L240" s="3">
        <f>SUM(I240:K240)</f>
        <v>1563.6097958677869</v>
      </c>
      <c r="M240" s="1"/>
      <c r="N240" s="1"/>
    </row>
    <row r="241" spans="1:14" x14ac:dyDescent="0.25">
      <c r="M241" s="1"/>
      <c r="N241" s="1"/>
    </row>
    <row r="242" spans="1:14" s="4" customFormat="1" ht="13" x14ac:dyDescent="0.3">
      <c r="A242" s="1"/>
      <c r="B242" s="7" t="s">
        <v>40</v>
      </c>
      <c r="C242" s="7" t="s">
        <v>39</v>
      </c>
      <c r="D242" s="7" t="s">
        <v>38</v>
      </c>
      <c r="E242" s="7" t="s">
        <v>37</v>
      </c>
      <c r="F242" s="7" t="s">
        <v>36</v>
      </c>
      <c r="G242" s="7" t="s">
        <v>35</v>
      </c>
      <c r="I242" s="6"/>
      <c r="J242" s="6"/>
      <c r="K242" s="6"/>
      <c r="L242" s="6"/>
    </row>
    <row r="243" spans="1:14" x14ac:dyDescent="0.25">
      <c r="B243" s="2" t="s">
        <v>77</v>
      </c>
      <c r="C243" s="1" t="s">
        <v>7</v>
      </c>
      <c r="D243" s="2">
        <v>373.38</v>
      </c>
      <c r="E243" s="2">
        <v>1331.93</v>
      </c>
      <c r="F243" s="2">
        <v>234.37</v>
      </c>
      <c r="G243" s="8">
        <f t="shared" ref="G243:G251" si="10">D243+(F243*(D243/E243))</f>
        <v>439.08095320324639</v>
      </c>
      <c r="M243" s="1"/>
      <c r="N243" s="1"/>
    </row>
    <row r="244" spans="1:14" ht="13" x14ac:dyDescent="0.3">
      <c r="A244" s="4"/>
      <c r="B244" s="2">
        <v>16</v>
      </c>
      <c r="C244" s="1" t="s">
        <v>8</v>
      </c>
      <c r="D244" s="2">
        <v>117.06</v>
      </c>
      <c r="E244" s="2">
        <v>1331.93</v>
      </c>
      <c r="F244" s="2">
        <v>234.37</v>
      </c>
      <c r="G244" s="8">
        <f t="shared" si="10"/>
        <v>137.65819374892075</v>
      </c>
      <c r="M244" s="1"/>
      <c r="N244" s="1"/>
    </row>
    <row r="245" spans="1:14" x14ac:dyDescent="0.25">
      <c r="B245" s="2" t="s">
        <v>66</v>
      </c>
      <c r="C245" s="1" t="s">
        <v>9</v>
      </c>
      <c r="D245" s="2">
        <v>117.07</v>
      </c>
      <c r="E245" s="2">
        <v>1331.93</v>
      </c>
      <c r="F245" s="2">
        <v>234.37</v>
      </c>
      <c r="G245" s="8">
        <f t="shared" si="10"/>
        <v>137.66995337592815</v>
      </c>
      <c r="M245" s="1"/>
      <c r="N245" s="1"/>
    </row>
    <row r="246" spans="1:14" x14ac:dyDescent="0.25">
      <c r="C246" s="1" t="s">
        <v>10</v>
      </c>
      <c r="D246" s="2">
        <v>260.99</v>
      </c>
      <c r="E246" s="2">
        <v>1331.93</v>
      </c>
      <c r="F246" s="2">
        <v>234.37</v>
      </c>
      <c r="G246" s="8">
        <f t="shared" si="10"/>
        <v>306.9145052667933</v>
      </c>
      <c r="M246" s="1"/>
      <c r="N246" s="1"/>
    </row>
    <row r="247" spans="1:14" x14ac:dyDescent="0.25">
      <c r="C247" s="1" t="s">
        <v>11</v>
      </c>
      <c r="D247" s="2">
        <v>213.43</v>
      </c>
      <c r="E247" s="2">
        <v>1331.93</v>
      </c>
      <c r="F247" s="2">
        <v>234.37</v>
      </c>
      <c r="G247" s="8">
        <f t="shared" si="10"/>
        <v>250.98571921947851</v>
      </c>
      <c r="M247" s="1"/>
      <c r="N247" s="1"/>
    </row>
    <row r="248" spans="1:14" x14ac:dyDescent="0.25">
      <c r="C248" s="1" t="s">
        <v>12</v>
      </c>
      <c r="D248" s="2">
        <v>117.07</v>
      </c>
      <c r="E248" s="2">
        <v>1331.93</v>
      </c>
      <c r="F248" s="2">
        <v>234.37</v>
      </c>
      <c r="G248" s="8">
        <f t="shared" si="10"/>
        <v>137.66995337592815</v>
      </c>
      <c r="M248" s="1"/>
      <c r="N248" s="1"/>
    </row>
    <row r="249" spans="1:14" x14ac:dyDescent="0.25">
      <c r="C249" s="1" t="s">
        <v>13</v>
      </c>
      <c r="D249" s="2">
        <v>117.1</v>
      </c>
      <c r="E249" s="2">
        <v>1331.93</v>
      </c>
      <c r="F249" s="2">
        <v>234.37</v>
      </c>
      <c r="G249" s="8">
        <f t="shared" si="10"/>
        <v>137.70523225695044</v>
      </c>
      <c r="M249" s="1"/>
      <c r="N249" s="1"/>
    </row>
    <row r="250" spans="1:14" x14ac:dyDescent="0.25">
      <c r="C250" s="1" t="s">
        <v>22</v>
      </c>
      <c r="D250" s="2">
        <v>7.39</v>
      </c>
      <c r="E250" s="2">
        <v>1331.93</v>
      </c>
      <c r="F250" s="2">
        <v>234.37</v>
      </c>
      <c r="G250" s="8">
        <f t="shared" si="10"/>
        <v>8.690364358487308</v>
      </c>
      <c r="M250" s="1"/>
      <c r="N250" s="1"/>
    </row>
    <row r="251" spans="1:14" x14ac:dyDescent="0.25">
      <c r="C251" s="1" t="s">
        <v>22</v>
      </c>
      <c r="D251" s="2">
        <v>8.44</v>
      </c>
      <c r="E251" s="2">
        <v>1331.93</v>
      </c>
      <c r="F251" s="2">
        <v>234.37</v>
      </c>
      <c r="G251" s="8">
        <f t="shared" si="10"/>
        <v>9.9251251942669647</v>
      </c>
      <c r="M251" s="1"/>
      <c r="N251" s="1"/>
    </row>
    <row r="252" spans="1:14" x14ac:dyDescent="0.25">
      <c r="M252" s="1"/>
      <c r="N252" s="1"/>
    </row>
    <row r="253" spans="1:14" x14ac:dyDescent="0.25">
      <c r="B253" s="2" t="s">
        <v>17</v>
      </c>
      <c r="D253" s="2">
        <f>SUM(D243:D251)</f>
        <v>1331.93</v>
      </c>
      <c r="G253" s="8">
        <f>SUM(G243:G251)</f>
        <v>1566.3</v>
      </c>
      <c r="I253" s="3">
        <f>SUM(G243:G249)</f>
        <v>1547.6845104472457</v>
      </c>
      <c r="J253" s="3">
        <f>SUM(G250:G251)</f>
        <v>18.615489552754273</v>
      </c>
      <c r="K253" s="3">
        <v>0</v>
      </c>
      <c r="L253" s="3">
        <f>SUM(I253:K253)</f>
        <v>1566.3</v>
      </c>
      <c r="M253" s="1"/>
      <c r="N253" s="1"/>
    </row>
    <row r="254" spans="1:14" x14ac:dyDescent="0.25">
      <c r="M254" s="1"/>
      <c r="N254" s="1"/>
    </row>
    <row r="255" spans="1:14" x14ac:dyDescent="0.25">
      <c r="M255" s="1"/>
      <c r="N255" s="1"/>
    </row>
    <row r="256" spans="1:14" s="4" customFormat="1" ht="13" x14ac:dyDescent="0.3">
      <c r="A256" s="1"/>
      <c r="B256" s="7" t="s">
        <v>40</v>
      </c>
      <c r="C256" s="7" t="s">
        <v>39</v>
      </c>
      <c r="D256" s="7" t="s">
        <v>38</v>
      </c>
      <c r="E256" s="7" t="s">
        <v>37</v>
      </c>
      <c r="F256" s="7" t="s">
        <v>36</v>
      </c>
      <c r="G256" s="7" t="s">
        <v>35</v>
      </c>
      <c r="I256" s="6"/>
      <c r="J256" s="6"/>
      <c r="K256" s="6"/>
      <c r="L256" s="6"/>
    </row>
    <row r="257" spans="1:14" x14ac:dyDescent="0.25">
      <c r="B257" s="2" t="s">
        <v>76</v>
      </c>
      <c r="C257" s="1" t="s">
        <v>7</v>
      </c>
      <c r="D257" s="2">
        <v>373.38</v>
      </c>
      <c r="E257" s="2">
        <v>1331.93</v>
      </c>
      <c r="F257" s="2">
        <v>234.37</v>
      </c>
      <c r="G257" s="8">
        <f t="shared" ref="G257:G265" si="11">D257+(F257*(D257/E257))</f>
        <v>439.08095320324639</v>
      </c>
      <c r="M257" s="1"/>
      <c r="N257" s="1"/>
    </row>
    <row r="258" spans="1:14" ht="13" x14ac:dyDescent="0.3">
      <c r="A258" s="4"/>
      <c r="B258" s="2">
        <v>17</v>
      </c>
      <c r="C258" s="1" t="s">
        <v>8</v>
      </c>
      <c r="D258" s="2">
        <v>117.06</v>
      </c>
      <c r="E258" s="2">
        <v>1331.93</v>
      </c>
      <c r="F258" s="2">
        <v>234.37</v>
      </c>
      <c r="G258" s="8">
        <f t="shared" si="11"/>
        <v>137.65819374892075</v>
      </c>
      <c r="M258" s="1"/>
      <c r="N258" s="1"/>
    </row>
    <row r="259" spans="1:14" x14ac:dyDescent="0.25">
      <c r="B259" s="2" t="s">
        <v>66</v>
      </c>
      <c r="C259" s="1" t="s">
        <v>9</v>
      </c>
      <c r="D259" s="2">
        <v>117.07</v>
      </c>
      <c r="E259" s="2">
        <v>1331.93</v>
      </c>
      <c r="F259" s="2">
        <v>234.37</v>
      </c>
      <c r="G259" s="8">
        <f t="shared" si="11"/>
        <v>137.66995337592815</v>
      </c>
      <c r="M259" s="1"/>
      <c r="N259" s="1"/>
    </row>
    <row r="260" spans="1:14" x14ac:dyDescent="0.25">
      <c r="C260" s="1" t="s">
        <v>10</v>
      </c>
      <c r="D260" s="2">
        <v>260.99</v>
      </c>
      <c r="E260" s="2">
        <v>1331.93</v>
      </c>
      <c r="F260" s="2">
        <v>234.37</v>
      </c>
      <c r="G260" s="8">
        <f t="shared" si="11"/>
        <v>306.9145052667933</v>
      </c>
      <c r="M260" s="1"/>
      <c r="N260" s="1"/>
    </row>
    <row r="261" spans="1:14" x14ac:dyDescent="0.25">
      <c r="C261" s="1" t="s">
        <v>11</v>
      </c>
      <c r="D261" s="2">
        <v>213.43</v>
      </c>
      <c r="E261" s="2">
        <v>1331.93</v>
      </c>
      <c r="F261" s="2">
        <v>234.37</v>
      </c>
      <c r="G261" s="8">
        <f t="shared" si="11"/>
        <v>250.98571921947851</v>
      </c>
      <c r="M261" s="1"/>
      <c r="N261" s="1"/>
    </row>
    <row r="262" spans="1:14" x14ac:dyDescent="0.25">
      <c r="C262" s="1" t="s">
        <v>12</v>
      </c>
      <c r="D262" s="2">
        <v>117.07</v>
      </c>
      <c r="E262" s="2">
        <v>1331.93</v>
      </c>
      <c r="F262" s="2">
        <v>234.37</v>
      </c>
      <c r="G262" s="8">
        <f t="shared" si="11"/>
        <v>137.66995337592815</v>
      </c>
      <c r="M262" s="1"/>
      <c r="N262" s="1"/>
    </row>
    <row r="263" spans="1:14" x14ac:dyDescent="0.25">
      <c r="C263" s="1" t="s">
        <v>13</v>
      </c>
      <c r="D263" s="2">
        <v>117.1</v>
      </c>
      <c r="E263" s="2">
        <v>1331.93</v>
      </c>
      <c r="F263" s="2">
        <v>234.37</v>
      </c>
      <c r="G263" s="8">
        <f t="shared" si="11"/>
        <v>137.70523225695044</v>
      </c>
      <c r="M263" s="1"/>
      <c r="N263" s="1"/>
    </row>
    <row r="264" spans="1:14" x14ac:dyDescent="0.25">
      <c r="C264" s="1" t="s">
        <v>22</v>
      </c>
      <c r="D264" s="2">
        <v>7.39</v>
      </c>
      <c r="E264" s="2">
        <v>1331.93</v>
      </c>
      <c r="F264" s="2">
        <v>234.37</v>
      </c>
      <c r="G264" s="8">
        <f t="shared" si="11"/>
        <v>8.690364358487308</v>
      </c>
      <c r="M264" s="1"/>
      <c r="N264" s="1"/>
    </row>
    <row r="265" spans="1:14" x14ac:dyDescent="0.25">
      <c r="C265" s="1" t="s">
        <v>22</v>
      </c>
      <c r="D265" s="2">
        <v>8.44</v>
      </c>
      <c r="E265" s="2">
        <v>1331.93</v>
      </c>
      <c r="F265" s="2">
        <v>234.37</v>
      </c>
      <c r="G265" s="8">
        <f t="shared" si="11"/>
        <v>9.9251251942669647</v>
      </c>
      <c r="M265" s="1"/>
      <c r="N265" s="1"/>
    </row>
    <row r="266" spans="1:14" x14ac:dyDescent="0.25">
      <c r="G266" s="8"/>
      <c r="M266" s="1"/>
      <c r="N266" s="1"/>
    </row>
    <row r="267" spans="1:14" x14ac:dyDescent="0.25">
      <c r="B267" s="2" t="s">
        <v>17</v>
      </c>
      <c r="D267" s="2">
        <f>SUM(D257:D266)</f>
        <v>1331.93</v>
      </c>
      <c r="G267" s="8">
        <f>SUM(G257:G266)</f>
        <v>1566.3</v>
      </c>
      <c r="I267" s="3">
        <f>SUM(G257:G263)</f>
        <v>1547.6845104472457</v>
      </c>
      <c r="J267" s="3">
        <f>SUM(D264:D265)</f>
        <v>15.829999999999998</v>
      </c>
      <c r="K267" s="3">
        <v>0</v>
      </c>
      <c r="L267" s="3">
        <f>SUM(I267:K267)</f>
        <v>1563.5145104472456</v>
      </c>
      <c r="M267" s="1"/>
      <c r="N267" s="1"/>
    </row>
    <row r="268" spans="1:14" x14ac:dyDescent="0.25">
      <c r="M268" s="1"/>
      <c r="N268" s="1"/>
    </row>
    <row r="269" spans="1:14" x14ac:dyDescent="0.25">
      <c r="M269" s="1"/>
      <c r="N269" s="1"/>
    </row>
    <row r="270" spans="1:14" s="4" customFormat="1" ht="13" x14ac:dyDescent="0.3">
      <c r="A270" s="1"/>
      <c r="B270" s="7" t="s">
        <v>40</v>
      </c>
      <c r="C270" s="7" t="s">
        <v>39</v>
      </c>
      <c r="D270" s="7" t="s">
        <v>38</v>
      </c>
      <c r="E270" s="7" t="s">
        <v>37</v>
      </c>
      <c r="F270" s="7" t="s">
        <v>36</v>
      </c>
      <c r="G270" s="7" t="s">
        <v>35</v>
      </c>
      <c r="I270" s="6"/>
      <c r="J270" s="6"/>
      <c r="K270" s="6"/>
      <c r="L270" s="6"/>
    </row>
    <row r="271" spans="1:14" x14ac:dyDescent="0.25">
      <c r="B271" s="2" t="s">
        <v>75</v>
      </c>
      <c r="C271" s="1" t="s">
        <v>7</v>
      </c>
      <c r="D271" s="2">
        <v>373.38</v>
      </c>
      <c r="E271" s="2">
        <v>1315.14</v>
      </c>
      <c r="F271" s="2">
        <v>251.5</v>
      </c>
      <c r="G271" s="8">
        <f t="shared" ref="G271:G278" si="12">D271+(F271*(D271/E271))</f>
        <v>444.78309776905883</v>
      </c>
      <c r="M271" s="1"/>
      <c r="N271" s="1"/>
    </row>
    <row r="272" spans="1:14" ht="13" x14ac:dyDescent="0.3">
      <c r="A272" s="4"/>
      <c r="B272" s="2">
        <v>18</v>
      </c>
      <c r="C272" s="1" t="s">
        <v>8</v>
      </c>
      <c r="D272" s="2">
        <v>117.06</v>
      </c>
      <c r="E272" s="2">
        <v>1315.14</v>
      </c>
      <c r="F272" s="2">
        <v>251.5</v>
      </c>
      <c r="G272" s="8">
        <f t="shared" si="12"/>
        <v>139.44589807929194</v>
      </c>
      <c r="M272" s="1"/>
      <c r="N272" s="1"/>
    </row>
    <row r="273" spans="1:14" x14ac:dyDescent="0.25">
      <c r="B273" s="2" t="s">
        <v>66</v>
      </c>
      <c r="C273" s="1" t="s">
        <v>9</v>
      </c>
      <c r="D273" s="2">
        <v>117.07</v>
      </c>
      <c r="E273" s="2">
        <v>1315.14</v>
      </c>
      <c r="F273" s="2">
        <v>251.5</v>
      </c>
      <c r="G273" s="8">
        <f t="shared" si="12"/>
        <v>139.45781042322488</v>
      </c>
      <c r="M273" s="1"/>
      <c r="N273" s="1"/>
    </row>
    <row r="274" spans="1:14" x14ac:dyDescent="0.25">
      <c r="C274" s="1" t="s">
        <v>10</v>
      </c>
      <c r="D274" s="2">
        <v>260.99</v>
      </c>
      <c r="E274" s="2">
        <v>1315.14</v>
      </c>
      <c r="F274" s="2">
        <v>251.5</v>
      </c>
      <c r="G274" s="8">
        <f t="shared" si="12"/>
        <v>310.90026430646168</v>
      </c>
      <c r="M274" s="1"/>
      <c r="N274" s="1"/>
    </row>
    <row r="275" spans="1:14" x14ac:dyDescent="0.25">
      <c r="C275" s="1" t="s">
        <v>11</v>
      </c>
      <c r="D275" s="2">
        <v>210.07</v>
      </c>
      <c r="E275" s="2">
        <v>1315.14</v>
      </c>
      <c r="F275" s="2">
        <v>251.5</v>
      </c>
      <c r="G275" s="8">
        <f t="shared" si="12"/>
        <v>250.24260899980229</v>
      </c>
      <c r="M275" s="1"/>
      <c r="N275" s="1"/>
    </row>
    <row r="276" spans="1:14" x14ac:dyDescent="0.25">
      <c r="C276" s="1" t="s">
        <v>12</v>
      </c>
      <c r="D276" s="2">
        <v>117.07</v>
      </c>
      <c r="E276" s="2">
        <v>1315.14</v>
      </c>
      <c r="F276" s="2">
        <v>251.5</v>
      </c>
      <c r="G276" s="8">
        <f t="shared" si="12"/>
        <v>139.45781042322488</v>
      </c>
      <c r="M276" s="1"/>
      <c r="N276" s="1"/>
    </row>
    <row r="277" spans="1:14" x14ac:dyDescent="0.25">
      <c r="C277" s="1" t="s">
        <v>13</v>
      </c>
      <c r="D277" s="2">
        <v>117.1</v>
      </c>
      <c r="E277" s="2">
        <v>1315.14</v>
      </c>
      <c r="F277" s="2">
        <v>251.5</v>
      </c>
      <c r="G277" s="8">
        <f t="shared" si="12"/>
        <v>139.49354745502379</v>
      </c>
      <c r="M277" s="1"/>
      <c r="N277" s="1"/>
    </row>
    <row r="278" spans="1:14" x14ac:dyDescent="0.25">
      <c r="C278" s="1" t="s">
        <v>46</v>
      </c>
      <c r="D278" s="2">
        <v>2.4</v>
      </c>
      <c r="E278" s="2">
        <v>1315.14</v>
      </c>
      <c r="F278" s="2">
        <v>251.5</v>
      </c>
      <c r="G278" s="8">
        <f t="shared" si="12"/>
        <v>2.8589625439116748</v>
      </c>
      <c r="M278" s="1"/>
      <c r="N278" s="1"/>
    </row>
    <row r="279" spans="1:14" x14ac:dyDescent="0.25">
      <c r="M279" s="1"/>
      <c r="N279" s="1"/>
    </row>
    <row r="280" spans="1:14" x14ac:dyDescent="0.25">
      <c r="B280" s="2" t="s">
        <v>17</v>
      </c>
      <c r="D280" s="2">
        <f>SUM(D271:D278)</f>
        <v>1315.1399999999999</v>
      </c>
      <c r="G280" s="8">
        <f>SUM(G271:G278)</f>
        <v>1566.64</v>
      </c>
      <c r="I280" s="3">
        <f>SUM(G271:G277)</f>
        <v>1563.7810374560884</v>
      </c>
      <c r="J280" s="3">
        <v>0</v>
      </c>
      <c r="K280" s="3">
        <f>SUM(G278)</f>
        <v>2.8589625439116748</v>
      </c>
      <c r="L280" s="3">
        <f>SUM(I280:K280)</f>
        <v>1566.64</v>
      </c>
      <c r="M280" s="1"/>
      <c r="N280" s="1"/>
    </row>
    <row r="281" spans="1:14" x14ac:dyDescent="0.25">
      <c r="M281" s="1"/>
      <c r="N281" s="1"/>
    </row>
    <row r="282" spans="1:14" x14ac:dyDescent="0.25">
      <c r="M282" s="1"/>
      <c r="N282" s="1"/>
    </row>
    <row r="283" spans="1:14" s="4" customFormat="1" ht="13" x14ac:dyDescent="0.3">
      <c r="A283" s="1"/>
      <c r="B283" s="7" t="s">
        <v>40</v>
      </c>
      <c r="C283" s="7" t="s">
        <v>39</v>
      </c>
      <c r="D283" s="7" t="s">
        <v>38</v>
      </c>
      <c r="E283" s="7" t="s">
        <v>37</v>
      </c>
      <c r="F283" s="7" t="s">
        <v>36</v>
      </c>
      <c r="G283" s="7" t="s">
        <v>35</v>
      </c>
      <c r="I283" s="6"/>
      <c r="J283" s="6"/>
      <c r="K283" s="6"/>
      <c r="L283" s="6"/>
    </row>
    <row r="284" spans="1:14" x14ac:dyDescent="0.25">
      <c r="B284" s="2" t="s">
        <v>74</v>
      </c>
      <c r="C284" s="1" t="s">
        <v>7</v>
      </c>
      <c r="D284" s="2">
        <v>373.38</v>
      </c>
      <c r="E284" s="2">
        <v>1331.93</v>
      </c>
      <c r="F284" s="2">
        <v>234.38</v>
      </c>
      <c r="G284" s="8">
        <f t="shared" ref="G284:G292" si="13">D284+(F284*(D284/E284))</f>
        <v>439.08375650372017</v>
      </c>
      <c r="M284" s="1"/>
      <c r="N284" s="1"/>
    </row>
    <row r="285" spans="1:14" ht="13" x14ac:dyDescent="0.3">
      <c r="A285" s="4"/>
      <c r="B285" s="2">
        <v>19</v>
      </c>
      <c r="C285" s="1" t="s">
        <v>8</v>
      </c>
      <c r="D285" s="2">
        <v>117.06</v>
      </c>
      <c r="E285" s="2">
        <v>1331.93</v>
      </c>
      <c r="F285" s="2">
        <v>234.38</v>
      </c>
      <c r="G285" s="8">
        <f t="shared" si="13"/>
        <v>137.65907262393671</v>
      </c>
      <c r="M285" s="1"/>
      <c r="N285" s="1"/>
    </row>
    <row r="286" spans="1:14" x14ac:dyDescent="0.25">
      <c r="B286" s="2" t="s">
        <v>66</v>
      </c>
      <c r="C286" s="1" t="s">
        <v>9</v>
      </c>
      <c r="D286" s="2">
        <v>117.07</v>
      </c>
      <c r="E286" s="2">
        <v>1331.93</v>
      </c>
      <c r="F286" s="2">
        <v>234.38</v>
      </c>
      <c r="G286" s="8">
        <f t="shared" si="13"/>
        <v>137.67083232602312</v>
      </c>
      <c r="M286" s="1"/>
      <c r="N286" s="1"/>
    </row>
    <row r="287" spans="1:14" x14ac:dyDescent="0.25">
      <c r="C287" s="1" t="s">
        <v>10</v>
      </c>
      <c r="D287" s="2">
        <v>260.99</v>
      </c>
      <c r="E287" s="2">
        <v>1331.93</v>
      </c>
      <c r="F287" s="2">
        <v>234.38</v>
      </c>
      <c r="G287" s="8">
        <f t="shared" si="13"/>
        <v>306.91646475415376</v>
      </c>
      <c r="M287" s="1"/>
      <c r="N287" s="1"/>
    </row>
    <row r="288" spans="1:14" x14ac:dyDescent="0.25">
      <c r="C288" s="1" t="s">
        <v>11</v>
      </c>
      <c r="D288" s="2">
        <v>213.43</v>
      </c>
      <c r="E288" s="2">
        <v>1331.93</v>
      </c>
      <c r="F288" s="2">
        <v>234.38</v>
      </c>
      <c r="G288" s="8">
        <f t="shared" si="13"/>
        <v>250.98732163101664</v>
      </c>
      <c r="M288" s="1"/>
      <c r="N288" s="1"/>
    </row>
    <row r="289" spans="1:14" x14ac:dyDescent="0.25">
      <c r="C289" s="1" t="s">
        <v>12</v>
      </c>
      <c r="D289" s="2">
        <v>117.07</v>
      </c>
      <c r="E289" s="2">
        <v>1331.93</v>
      </c>
      <c r="F289" s="2">
        <v>234.38</v>
      </c>
      <c r="G289" s="8">
        <f t="shared" si="13"/>
        <v>137.67083232602312</v>
      </c>
      <c r="M289" s="1"/>
      <c r="N289" s="1"/>
    </row>
    <row r="290" spans="1:14" x14ac:dyDescent="0.25">
      <c r="C290" s="1" t="s">
        <v>13</v>
      </c>
      <c r="D290" s="2">
        <v>117.1</v>
      </c>
      <c r="E290" s="2">
        <v>1331.93</v>
      </c>
      <c r="F290" s="2">
        <v>234.38</v>
      </c>
      <c r="G290" s="8">
        <f t="shared" si="13"/>
        <v>137.70611143228246</v>
      </c>
      <c r="M290" s="1"/>
      <c r="N290" s="1"/>
    </row>
    <row r="291" spans="1:14" x14ac:dyDescent="0.25">
      <c r="C291" s="1" t="s">
        <v>22</v>
      </c>
      <c r="D291" s="2">
        <v>7.39</v>
      </c>
      <c r="E291" s="2">
        <v>1331.93</v>
      </c>
      <c r="F291" s="2">
        <v>234.38</v>
      </c>
      <c r="G291" s="8">
        <f t="shared" si="13"/>
        <v>8.6904198418835819</v>
      </c>
      <c r="M291" s="1"/>
      <c r="N291" s="1"/>
    </row>
    <row r="292" spans="1:14" x14ac:dyDescent="0.25">
      <c r="C292" s="1" t="s">
        <v>22</v>
      </c>
      <c r="D292" s="2">
        <v>8.44</v>
      </c>
      <c r="E292" s="2">
        <v>1331.93</v>
      </c>
      <c r="F292" s="2">
        <v>234.38</v>
      </c>
      <c r="G292" s="8">
        <f t="shared" si="13"/>
        <v>9.9251885609604109</v>
      </c>
      <c r="M292" s="1"/>
      <c r="N292" s="1"/>
    </row>
    <row r="293" spans="1:14" x14ac:dyDescent="0.25">
      <c r="M293" s="1"/>
      <c r="N293" s="1"/>
    </row>
    <row r="294" spans="1:14" x14ac:dyDescent="0.25">
      <c r="B294" s="2" t="s">
        <v>17</v>
      </c>
      <c r="D294" s="2">
        <f>SUM(D284:D292)</f>
        <v>1331.93</v>
      </c>
      <c r="G294" s="8">
        <f>SUM(G284:G292)</f>
        <v>1566.31</v>
      </c>
      <c r="I294" s="3">
        <f>SUM(G284:G290)</f>
        <v>1547.694391597156</v>
      </c>
      <c r="J294" s="3">
        <f>SUM(D291:D292)</f>
        <v>15.829999999999998</v>
      </c>
      <c r="K294" s="3">
        <v>0</v>
      </c>
      <c r="L294" s="3">
        <f>SUM(I294:K294)</f>
        <v>1563.524391597156</v>
      </c>
      <c r="M294" s="1"/>
      <c r="N294" s="1"/>
    </row>
    <row r="295" spans="1:14" x14ac:dyDescent="0.25">
      <c r="M295" s="1"/>
      <c r="N295" s="1"/>
    </row>
    <row r="296" spans="1:14" x14ac:dyDescent="0.25">
      <c r="M296" s="1"/>
      <c r="N296" s="1"/>
    </row>
    <row r="297" spans="1:14" s="4" customFormat="1" ht="13" x14ac:dyDescent="0.3">
      <c r="A297" s="1"/>
      <c r="B297" s="7" t="s">
        <v>40</v>
      </c>
      <c r="C297" s="7" t="s">
        <v>39</v>
      </c>
      <c r="D297" s="7" t="s">
        <v>38</v>
      </c>
      <c r="E297" s="7" t="s">
        <v>37</v>
      </c>
      <c r="F297" s="7" t="s">
        <v>36</v>
      </c>
      <c r="G297" s="7" t="s">
        <v>35</v>
      </c>
      <c r="I297" s="6"/>
      <c r="J297" s="6"/>
      <c r="K297" s="6"/>
      <c r="L297" s="6"/>
    </row>
    <row r="298" spans="1:14" x14ac:dyDescent="0.25">
      <c r="B298" s="2" t="s">
        <v>73</v>
      </c>
      <c r="C298" s="1" t="s">
        <v>7</v>
      </c>
      <c r="D298" s="2">
        <v>373.38</v>
      </c>
      <c r="E298" s="2">
        <v>1331.93</v>
      </c>
      <c r="F298" s="2">
        <v>234.38</v>
      </c>
      <c r="G298" s="8">
        <f t="shared" ref="G298:G306" si="14">D298+(F298*(D298/E298))</f>
        <v>439.08375650372017</v>
      </c>
      <c r="M298" s="1"/>
      <c r="N298" s="1"/>
    </row>
    <row r="299" spans="1:14" ht="13" x14ac:dyDescent="0.3">
      <c r="A299" s="4"/>
      <c r="B299" s="2">
        <v>20</v>
      </c>
      <c r="C299" s="1" t="s">
        <v>8</v>
      </c>
      <c r="D299" s="2">
        <v>117.06</v>
      </c>
      <c r="E299" s="2">
        <v>1331.93</v>
      </c>
      <c r="F299" s="2">
        <v>234.38</v>
      </c>
      <c r="G299" s="8">
        <f t="shared" si="14"/>
        <v>137.65907262393671</v>
      </c>
      <c r="M299" s="1"/>
      <c r="N299" s="1"/>
    </row>
    <row r="300" spans="1:14" x14ac:dyDescent="0.25">
      <c r="B300" s="2" t="s">
        <v>66</v>
      </c>
      <c r="C300" s="1" t="s">
        <v>9</v>
      </c>
      <c r="D300" s="2">
        <v>117.07</v>
      </c>
      <c r="E300" s="2">
        <v>1331.93</v>
      </c>
      <c r="F300" s="2">
        <v>234.38</v>
      </c>
      <c r="G300" s="8">
        <f t="shared" si="14"/>
        <v>137.67083232602312</v>
      </c>
      <c r="M300" s="1"/>
      <c r="N300" s="1"/>
    </row>
    <row r="301" spans="1:14" x14ac:dyDescent="0.25">
      <c r="C301" s="1" t="s">
        <v>10</v>
      </c>
      <c r="D301" s="2">
        <v>260.99</v>
      </c>
      <c r="E301" s="2">
        <v>1331.93</v>
      </c>
      <c r="F301" s="2">
        <v>234.38</v>
      </c>
      <c r="G301" s="8">
        <f t="shared" si="14"/>
        <v>306.91646475415376</v>
      </c>
      <c r="M301" s="1"/>
      <c r="N301" s="1"/>
    </row>
    <row r="302" spans="1:14" x14ac:dyDescent="0.25">
      <c r="C302" s="1" t="s">
        <v>11</v>
      </c>
      <c r="D302" s="2">
        <v>213.43</v>
      </c>
      <c r="E302" s="2">
        <v>1331.93</v>
      </c>
      <c r="F302" s="2">
        <v>234.38</v>
      </c>
      <c r="G302" s="8">
        <f t="shared" si="14"/>
        <v>250.98732163101664</v>
      </c>
      <c r="M302" s="1"/>
      <c r="N302" s="1"/>
    </row>
    <row r="303" spans="1:14" x14ac:dyDescent="0.25">
      <c r="C303" s="1" t="s">
        <v>12</v>
      </c>
      <c r="D303" s="2">
        <v>117.07</v>
      </c>
      <c r="E303" s="2">
        <v>1331.93</v>
      </c>
      <c r="F303" s="2">
        <v>234.38</v>
      </c>
      <c r="G303" s="8">
        <f t="shared" si="14"/>
        <v>137.67083232602312</v>
      </c>
      <c r="M303" s="1"/>
      <c r="N303" s="1"/>
    </row>
    <row r="304" spans="1:14" x14ac:dyDescent="0.25">
      <c r="C304" s="1" t="s">
        <v>13</v>
      </c>
      <c r="D304" s="2">
        <v>117.1</v>
      </c>
      <c r="E304" s="2">
        <v>1331.93</v>
      </c>
      <c r="F304" s="2">
        <v>234.38</v>
      </c>
      <c r="G304" s="8">
        <f t="shared" si="14"/>
        <v>137.70611143228246</v>
      </c>
      <c r="M304" s="1"/>
      <c r="N304" s="1"/>
    </row>
    <row r="305" spans="1:14" x14ac:dyDescent="0.25">
      <c r="C305" s="1" t="s">
        <v>22</v>
      </c>
      <c r="D305" s="2">
        <v>7.39</v>
      </c>
      <c r="E305" s="2">
        <v>1331.93</v>
      </c>
      <c r="F305" s="2">
        <v>234.38</v>
      </c>
      <c r="G305" s="8">
        <f t="shared" si="14"/>
        <v>8.6904198418835819</v>
      </c>
      <c r="M305" s="1"/>
      <c r="N305" s="1"/>
    </row>
    <row r="306" spans="1:14" x14ac:dyDescent="0.25">
      <c r="C306" s="1" t="s">
        <v>22</v>
      </c>
      <c r="D306" s="2">
        <v>8.44</v>
      </c>
      <c r="E306" s="2">
        <v>1331.93</v>
      </c>
      <c r="F306" s="2">
        <v>234.38</v>
      </c>
      <c r="G306" s="8">
        <f t="shared" si="14"/>
        <v>9.9251885609604109</v>
      </c>
      <c r="M306" s="1"/>
      <c r="N306" s="1"/>
    </row>
    <row r="307" spans="1:14" x14ac:dyDescent="0.25">
      <c r="M307" s="1"/>
      <c r="N307" s="1"/>
    </row>
    <row r="308" spans="1:14" x14ac:dyDescent="0.25">
      <c r="B308" s="2" t="s">
        <v>17</v>
      </c>
      <c r="D308" s="2">
        <f>SUM(D298:D306)</f>
        <v>1331.93</v>
      </c>
      <c r="G308" s="8">
        <f>SUM(G298:G306)</f>
        <v>1566.31</v>
      </c>
      <c r="I308" s="3">
        <f>SUM(G298:G304)</f>
        <v>1547.694391597156</v>
      </c>
      <c r="J308" s="3">
        <f>SUM(D305:D306)</f>
        <v>15.829999999999998</v>
      </c>
      <c r="K308" s="3">
        <v>0</v>
      </c>
      <c r="L308" s="3">
        <f>SUM(I308:K308)</f>
        <v>1563.524391597156</v>
      </c>
      <c r="M308" s="1"/>
      <c r="N308" s="1"/>
    </row>
    <row r="309" spans="1:14" x14ac:dyDescent="0.25">
      <c r="M309" s="1"/>
      <c r="N309" s="1"/>
    </row>
    <row r="310" spans="1:14" x14ac:dyDescent="0.25">
      <c r="M310" s="1"/>
      <c r="N310" s="1"/>
    </row>
    <row r="311" spans="1:14" s="4" customFormat="1" ht="13" x14ac:dyDescent="0.3">
      <c r="A311" s="1"/>
      <c r="B311" s="7" t="s">
        <v>40</v>
      </c>
      <c r="C311" s="7" t="s">
        <v>39</v>
      </c>
      <c r="D311" s="7" t="s">
        <v>38</v>
      </c>
      <c r="E311" s="7" t="s">
        <v>37</v>
      </c>
      <c r="F311" s="7" t="s">
        <v>36</v>
      </c>
      <c r="G311" s="7" t="s">
        <v>35</v>
      </c>
      <c r="I311" s="6"/>
      <c r="J311" s="6"/>
      <c r="K311" s="6"/>
      <c r="L311" s="6"/>
    </row>
    <row r="312" spans="1:14" x14ac:dyDescent="0.25">
      <c r="B312" s="2" t="s">
        <v>72</v>
      </c>
      <c r="C312" s="1" t="s">
        <v>7</v>
      </c>
      <c r="D312" s="2">
        <v>373.38</v>
      </c>
      <c r="E312" s="2">
        <v>1331.51</v>
      </c>
      <c r="F312" s="2">
        <v>234.38</v>
      </c>
      <c r="G312" s="8">
        <f t="shared" ref="G312:G321" si="15">D312+(F312*(D312/E312))</f>
        <v>439.10448152849023</v>
      </c>
      <c r="M312" s="1"/>
      <c r="N312" s="1"/>
    </row>
    <row r="313" spans="1:14" ht="13" x14ac:dyDescent="0.3">
      <c r="A313" s="4"/>
      <c r="B313" s="2">
        <v>21</v>
      </c>
      <c r="C313" s="1" t="s">
        <v>8</v>
      </c>
      <c r="D313" s="2">
        <v>117.06</v>
      </c>
      <c r="E313" s="2">
        <v>1331.51</v>
      </c>
      <c r="F313" s="2">
        <v>234.38</v>
      </c>
      <c r="G313" s="8">
        <f t="shared" si="15"/>
        <v>137.66557021727212</v>
      </c>
      <c r="M313" s="1"/>
      <c r="N313" s="1"/>
    </row>
    <row r="314" spans="1:14" x14ac:dyDescent="0.25">
      <c r="B314" s="2" t="s">
        <v>66</v>
      </c>
      <c r="C314" s="1" t="s">
        <v>9</v>
      </c>
      <c r="D314" s="2">
        <v>117.07</v>
      </c>
      <c r="E314" s="2">
        <v>1331.51</v>
      </c>
      <c r="F314" s="2">
        <v>234.38</v>
      </c>
      <c r="G314" s="8">
        <f t="shared" si="15"/>
        <v>137.67733047442377</v>
      </c>
      <c r="M314" s="1"/>
      <c r="N314" s="1"/>
    </row>
    <row r="315" spans="1:14" x14ac:dyDescent="0.25">
      <c r="C315" s="1" t="s">
        <v>10</v>
      </c>
      <c r="D315" s="2">
        <v>260.99</v>
      </c>
      <c r="E315" s="2">
        <v>1331.51</v>
      </c>
      <c r="F315" s="2">
        <v>234.38</v>
      </c>
      <c r="G315" s="8">
        <f t="shared" si="15"/>
        <v>306.93095140104094</v>
      </c>
      <c r="M315" s="1"/>
      <c r="N315" s="1"/>
    </row>
    <row r="316" spans="1:14" x14ac:dyDescent="0.25">
      <c r="C316" s="1" t="s">
        <v>11</v>
      </c>
      <c r="D316" s="2">
        <v>213.43</v>
      </c>
      <c r="E316" s="2">
        <v>1331.51</v>
      </c>
      <c r="F316" s="2">
        <v>234.38</v>
      </c>
      <c r="G316" s="8">
        <f t="shared" si="15"/>
        <v>250.99916838777028</v>
      </c>
      <c r="M316" s="1"/>
      <c r="N316" s="1"/>
    </row>
    <row r="317" spans="1:14" x14ac:dyDescent="0.25">
      <c r="C317" s="1" t="s">
        <v>12</v>
      </c>
      <c r="D317" s="2">
        <v>117.07</v>
      </c>
      <c r="E317" s="2">
        <v>1331.51</v>
      </c>
      <c r="F317" s="2">
        <v>234.38</v>
      </c>
      <c r="G317" s="8">
        <f t="shared" si="15"/>
        <v>137.67733047442377</v>
      </c>
      <c r="M317" s="1"/>
      <c r="N317" s="1"/>
    </row>
    <row r="318" spans="1:14" x14ac:dyDescent="0.25">
      <c r="C318" s="1" t="s">
        <v>13</v>
      </c>
      <c r="D318" s="2">
        <v>117.1</v>
      </c>
      <c r="E318" s="2">
        <v>1331.51</v>
      </c>
      <c r="F318" s="2">
        <v>234.38</v>
      </c>
      <c r="G318" s="8">
        <f t="shared" si="15"/>
        <v>137.71261124587875</v>
      </c>
      <c r="M318" s="1"/>
      <c r="N318" s="1"/>
    </row>
    <row r="319" spans="1:14" x14ac:dyDescent="0.25">
      <c r="C319" s="1" t="s">
        <v>22</v>
      </c>
      <c r="D319" s="2">
        <v>7.39</v>
      </c>
      <c r="E319" s="2">
        <v>1331.51</v>
      </c>
      <c r="F319" s="2">
        <v>234.38</v>
      </c>
      <c r="G319" s="8">
        <f t="shared" si="15"/>
        <v>8.6908300350729615</v>
      </c>
      <c r="M319" s="1"/>
      <c r="N319" s="1"/>
    </row>
    <row r="320" spans="1:14" x14ac:dyDescent="0.25">
      <c r="C320" s="1" t="s">
        <v>22</v>
      </c>
      <c r="D320" s="2">
        <v>5.47</v>
      </c>
      <c r="E320" s="2">
        <v>1331.51</v>
      </c>
      <c r="F320" s="2">
        <v>234.38</v>
      </c>
      <c r="G320" s="8">
        <f t="shared" si="15"/>
        <v>6.4328606619552238</v>
      </c>
      <c r="M320" s="1"/>
      <c r="N320" s="1"/>
    </row>
    <row r="321" spans="1:14" x14ac:dyDescent="0.25">
      <c r="C321" s="1" t="s">
        <v>46</v>
      </c>
      <c r="D321" s="2">
        <v>2.5499999999999998</v>
      </c>
      <c r="E321" s="2">
        <v>1331.51</v>
      </c>
      <c r="F321" s="2">
        <v>234.38</v>
      </c>
      <c r="G321" s="8">
        <f t="shared" si="15"/>
        <v>2.9988655736719965</v>
      </c>
      <c r="M321" s="1"/>
      <c r="N321" s="1"/>
    </row>
    <row r="322" spans="1:14" x14ac:dyDescent="0.25">
      <c r="M322" s="1"/>
      <c r="N322" s="1"/>
    </row>
    <row r="323" spans="1:14" x14ac:dyDescent="0.25">
      <c r="B323" s="2" t="s">
        <v>17</v>
      </c>
      <c r="D323" s="2">
        <f>SUM(D312:D321)</f>
        <v>1331.51</v>
      </c>
      <c r="G323" s="8">
        <f>SUM(G312:G321)</f>
        <v>1565.8899999999999</v>
      </c>
      <c r="I323" s="3">
        <f>SUM(G312:G318)</f>
        <v>1547.7674437292999</v>
      </c>
      <c r="J323" s="3">
        <f>SUM(D319:D320)</f>
        <v>12.86</v>
      </c>
      <c r="K323" s="3">
        <f>SUM(G321)</f>
        <v>2.9988655736719965</v>
      </c>
      <c r="L323" s="3">
        <f>SUM(I323:K323)</f>
        <v>1563.6263093029718</v>
      </c>
      <c r="M323" s="1"/>
      <c r="N323" s="1"/>
    </row>
    <row r="324" spans="1:14" x14ac:dyDescent="0.25">
      <c r="M324" s="1"/>
      <c r="N324" s="1"/>
    </row>
    <row r="325" spans="1:14" x14ac:dyDescent="0.25">
      <c r="M325" s="1"/>
      <c r="N325" s="1"/>
    </row>
    <row r="326" spans="1:14" s="4" customFormat="1" ht="13" x14ac:dyDescent="0.3">
      <c r="A326" s="1"/>
      <c r="B326" s="7" t="s">
        <v>40</v>
      </c>
      <c r="C326" s="7" t="s">
        <v>39</v>
      </c>
      <c r="D326" s="7" t="s">
        <v>38</v>
      </c>
      <c r="E326" s="7" t="s">
        <v>37</v>
      </c>
      <c r="F326" s="7" t="s">
        <v>36</v>
      </c>
      <c r="G326" s="7" t="s">
        <v>35</v>
      </c>
      <c r="I326" s="6"/>
      <c r="J326" s="6"/>
      <c r="K326" s="6"/>
      <c r="L326" s="6"/>
    </row>
    <row r="327" spans="1:14" x14ac:dyDescent="0.25">
      <c r="B327" s="2" t="s">
        <v>71</v>
      </c>
      <c r="C327" s="1" t="s">
        <v>7</v>
      </c>
      <c r="D327" s="2">
        <v>373.38</v>
      </c>
      <c r="E327" s="2">
        <v>1316.1</v>
      </c>
      <c r="F327" s="2">
        <v>251.47</v>
      </c>
      <c r="G327" s="8">
        <f t="shared" ref="G327:G333" si="16">D327+(F327*(D327/E327))</f>
        <v>444.72250330521996</v>
      </c>
      <c r="M327" s="1"/>
      <c r="N327" s="1"/>
    </row>
    <row r="328" spans="1:14" ht="13" x14ac:dyDescent="0.3">
      <c r="A328" s="4"/>
      <c r="B328" s="2">
        <v>22</v>
      </c>
      <c r="C328" s="1" t="s">
        <v>8</v>
      </c>
      <c r="D328" s="2">
        <v>117.06</v>
      </c>
      <c r="E328" s="2">
        <v>1316.1</v>
      </c>
      <c r="F328" s="2">
        <v>251.47</v>
      </c>
      <c r="G328" s="8">
        <f t="shared" si="16"/>
        <v>139.42690084340097</v>
      </c>
      <c r="M328" s="1"/>
      <c r="N328" s="1"/>
    </row>
    <row r="329" spans="1:14" x14ac:dyDescent="0.25">
      <c r="B329" s="2" t="s">
        <v>66</v>
      </c>
      <c r="C329" s="1" t="s">
        <v>9</v>
      </c>
      <c r="D329" s="2">
        <v>117.07</v>
      </c>
      <c r="E329" s="2">
        <v>1316.1</v>
      </c>
      <c r="F329" s="2">
        <v>251.47</v>
      </c>
      <c r="G329" s="8">
        <f t="shared" si="16"/>
        <v>139.43881156447077</v>
      </c>
      <c r="M329" s="1"/>
      <c r="N329" s="1"/>
    </row>
    <row r="330" spans="1:14" x14ac:dyDescent="0.25">
      <c r="C330" s="1" t="s">
        <v>10</v>
      </c>
      <c r="D330" s="2">
        <v>260.99</v>
      </c>
      <c r="E330" s="2">
        <v>1316.1</v>
      </c>
      <c r="F330" s="2">
        <v>251.47</v>
      </c>
      <c r="G330" s="8">
        <f t="shared" si="16"/>
        <v>310.85790920142847</v>
      </c>
      <c r="M330" s="1"/>
      <c r="N330" s="1"/>
    </row>
    <row r="331" spans="1:14" x14ac:dyDescent="0.25">
      <c r="C331" s="1" t="s">
        <v>11</v>
      </c>
      <c r="D331" s="2">
        <v>213.43</v>
      </c>
      <c r="E331" s="2">
        <v>1316.1</v>
      </c>
      <c r="F331" s="2">
        <v>251.47</v>
      </c>
      <c r="G331" s="8">
        <f t="shared" si="16"/>
        <v>254.21051979332879</v>
      </c>
      <c r="M331" s="1"/>
      <c r="N331" s="1"/>
    </row>
    <row r="332" spans="1:14" x14ac:dyDescent="0.25">
      <c r="C332" s="1" t="s">
        <v>12</v>
      </c>
      <c r="D332" s="2">
        <v>117.07</v>
      </c>
      <c r="E332" s="2">
        <v>1316.1</v>
      </c>
      <c r="F332" s="2">
        <v>251.47</v>
      </c>
      <c r="G332" s="8">
        <f t="shared" si="16"/>
        <v>139.43881156447077</v>
      </c>
      <c r="M332" s="1"/>
      <c r="N332" s="1"/>
    </row>
    <row r="333" spans="1:14" x14ac:dyDescent="0.25">
      <c r="C333" s="1" t="s">
        <v>13</v>
      </c>
      <c r="D333" s="2">
        <v>117.1</v>
      </c>
      <c r="E333" s="2">
        <v>1316.1</v>
      </c>
      <c r="F333" s="2">
        <v>251.47</v>
      </c>
      <c r="G333" s="8">
        <f t="shared" si="16"/>
        <v>139.47454372768027</v>
      </c>
      <c r="M333" s="1"/>
      <c r="N333" s="1"/>
    </row>
    <row r="334" spans="1:14" x14ac:dyDescent="0.25">
      <c r="M334" s="1"/>
      <c r="N334" s="1"/>
    </row>
    <row r="335" spans="1:14" x14ac:dyDescent="0.25">
      <c r="B335" s="2" t="s">
        <v>17</v>
      </c>
      <c r="D335" s="2">
        <f>SUM(D327:D333)</f>
        <v>1316.1</v>
      </c>
      <c r="G335" s="8">
        <f>SUM(G327:G333)</f>
        <v>1567.5700000000002</v>
      </c>
      <c r="I335" s="3">
        <f>SUM(G327:G333)</f>
        <v>1567.5700000000002</v>
      </c>
      <c r="J335" s="3">
        <v>0</v>
      </c>
      <c r="K335" s="3">
        <v>0</v>
      </c>
      <c r="L335" s="3">
        <f>SUM(I335:K335)</f>
        <v>1567.5700000000002</v>
      </c>
      <c r="M335" s="1"/>
      <c r="N335" s="1"/>
    </row>
    <row r="336" spans="1:14" x14ac:dyDescent="0.25">
      <c r="M336" s="1"/>
      <c r="N336" s="1"/>
    </row>
    <row r="337" spans="1:14" x14ac:dyDescent="0.25">
      <c r="M337" s="1"/>
      <c r="N337" s="1"/>
    </row>
    <row r="338" spans="1:14" s="4" customFormat="1" ht="13" x14ac:dyDescent="0.3">
      <c r="A338" s="1"/>
      <c r="B338" s="7" t="s">
        <v>40</v>
      </c>
      <c r="C338" s="7" t="s">
        <v>39</v>
      </c>
      <c r="D338" s="7" t="s">
        <v>38</v>
      </c>
      <c r="E338" s="7" t="s">
        <v>37</v>
      </c>
      <c r="F338" s="7" t="s">
        <v>36</v>
      </c>
      <c r="G338" s="7" t="s">
        <v>35</v>
      </c>
      <c r="I338" s="6"/>
      <c r="J338" s="6"/>
      <c r="K338" s="6"/>
      <c r="L338" s="6"/>
    </row>
    <row r="339" spans="1:14" x14ac:dyDescent="0.25">
      <c r="B339" s="2" t="s">
        <v>70</v>
      </c>
      <c r="C339" s="1" t="s">
        <v>7</v>
      </c>
      <c r="D339" s="2">
        <v>373.38</v>
      </c>
      <c r="E339" s="2">
        <v>1331.93</v>
      </c>
      <c r="F339" s="2">
        <v>234.38</v>
      </c>
      <c r="G339" s="8">
        <f t="shared" ref="G339:G347" si="17">D339+(F339*(D339/E339))</f>
        <v>439.08375650372017</v>
      </c>
      <c r="M339" s="1"/>
      <c r="N339" s="1"/>
    </row>
    <row r="340" spans="1:14" ht="13" x14ac:dyDescent="0.3">
      <c r="A340" s="4"/>
      <c r="B340" s="2">
        <v>23</v>
      </c>
      <c r="C340" s="1" t="s">
        <v>8</v>
      </c>
      <c r="D340" s="2">
        <v>117.06</v>
      </c>
      <c r="E340" s="2">
        <v>1331.93</v>
      </c>
      <c r="F340" s="2">
        <v>234.38</v>
      </c>
      <c r="G340" s="8">
        <f t="shared" si="17"/>
        <v>137.65907262393671</v>
      </c>
      <c r="M340" s="1"/>
      <c r="N340" s="1"/>
    </row>
    <row r="341" spans="1:14" x14ac:dyDescent="0.25">
      <c r="B341" s="2" t="s">
        <v>66</v>
      </c>
      <c r="C341" s="1" t="s">
        <v>9</v>
      </c>
      <c r="D341" s="2">
        <v>117.07</v>
      </c>
      <c r="E341" s="2">
        <v>1331.93</v>
      </c>
      <c r="F341" s="2">
        <v>234.38</v>
      </c>
      <c r="G341" s="8">
        <f t="shared" si="17"/>
        <v>137.67083232602312</v>
      </c>
      <c r="M341" s="1"/>
      <c r="N341" s="1"/>
    </row>
    <row r="342" spans="1:14" x14ac:dyDescent="0.25">
      <c r="C342" s="1" t="s">
        <v>10</v>
      </c>
      <c r="D342" s="2">
        <v>260.99</v>
      </c>
      <c r="E342" s="2">
        <v>1331.93</v>
      </c>
      <c r="F342" s="2">
        <v>234.38</v>
      </c>
      <c r="G342" s="8">
        <f t="shared" si="17"/>
        <v>306.91646475415376</v>
      </c>
      <c r="M342" s="1"/>
      <c r="N342" s="1"/>
    </row>
    <row r="343" spans="1:14" x14ac:dyDescent="0.25">
      <c r="C343" s="1" t="s">
        <v>11</v>
      </c>
      <c r="D343" s="2">
        <v>213.43</v>
      </c>
      <c r="E343" s="2">
        <v>1331.93</v>
      </c>
      <c r="F343" s="2">
        <v>234.38</v>
      </c>
      <c r="G343" s="8">
        <f t="shared" si="17"/>
        <v>250.98732163101664</v>
      </c>
      <c r="M343" s="1"/>
      <c r="N343" s="1"/>
    </row>
    <row r="344" spans="1:14" x14ac:dyDescent="0.25">
      <c r="C344" s="1" t="s">
        <v>12</v>
      </c>
      <c r="D344" s="2">
        <v>117.07</v>
      </c>
      <c r="E344" s="2">
        <v>1331.93</v>
      </c>
      <c r="F344" s="2">
        <v>234.38</v>
      </c>
      <c r="G344" s="8">
        <f t="shared" si="17"/>
        <v>137.67083232602312</v>
      </c>
      <c r="M344" s="1"/>
      <c r="N344" s="1"/>
    </row>
    <row r="345" spans="1:14" x14ac:dyDescent="0.25">
      <c r="C345" s="1" t="s">
        <v>13</v>
      </c>
      <c r="D345" s="2">
        <v>117.1</v>
      </c>
      <c r="E345" s="2">
        <v>1331.93</v>
      </c>
      <c r="F345" s="2">
        <v>234.38</v>
      </c>
      <c r="G345" s="8">
        <f t="shared" si="17"/>
        <v>137.70611143228246</v>
      </c>
      <c r="M345" s="1"/>
      <c r="N345" s="1"/>
    </row>
    <row r="346" spans="1:14" x14ac:dyDescent="0.25">
      <c r="C346" s="1" t="s">
        <v>22</v>
      </c>
      <c r="D346" s="2">
        <v>7.39</v>
      </c>
      <c r="E346" s="2">
        <v>1331.93</v>
      </c>
      <c r="F346" s="2">
        <v>234.38</v>
      </c>
      <c r="G346" s="8">
        <f t="shared" si="17"/>
        <v>8.6904198418835819</v>
      </c>
      <c r="M346" s="1"/>
      <c r="N346" s="1"/>
    </row>
    <row r="347" spans="1:14" x14ac:dyDescent="0.25">
      <c r="C347" s="1" t="s">
        <v>22</v>
      </c>
      <c r="D347" s="2">
        <v>8.44</v>
      </c>
      <c r="E347" s="2">
        <v>1331.93</v>
      </c>
      <c r="F347" s="2">
        <v>234.38</v>
      </c>
      <c r="G347" s="8">
        <f t="shared" si="17"/>
        <v>9.9251885609604109</v>
      </c>
      <c r="M347" s="1"/>
      <c r="N347" s="1"/>
    </row>
    <row r="348" spans="1:14" x14ac:dyDescent="0.25">
      <c r="M348" s="1"/>
      <c r="N348" s="1"/>
    </row>
    <row r="349" spans="1:14" x14ac:dyDescent="0.25">
      <c r="B349" s="2" t="s">
        <v>17</v>
      </c>
      <c r="D349" s="2">
        <f>SUM(D339:D347)</f>
        <v>1331.93</v>
      </c>
      <c r="G349" s="8">
        <f>SUM(G339:G347)</f>
        <v>1566.31</v>
      </c>
      <c r="I349" s="3">
        <f>SUM(G339:G345)</f>
        <v>1547.694391597156</v>
      </c>
      <c r="J349" s="3">
        <f>SUM(D346:D347)</f>
        <v>15.829999999999998</v>
      </c>
      <c r="K349" s="3">
        <v>0</v>
      </c>
      <c r="L349" s="3">
        <f>SUM(I349:K349)</f>
        <v>1563.524391597156</v>
      </c>
      <c r="M349" s="1"/>
      <c r="N349" s="1"/>
    </row>
    <row r="350" spans="1:14" x14ac:dyDescent="0.25">
      <c r="M350" s="1"/>
      <c r="N350" s="1"/>
    </row>
    <row r="351" spans="1:14" x14ac:dyDescent="0.25">
      <c r="M351" s="1"/>
      <c r="N351" s="1"/>
    </row>
    <row r="352" spans="1:14" ht="13" x14ac:dyDescent="0.3">
      <c r="B352" s="7" t="s">
        <v>40</v>
      </c>
      <c r="C352" s="7" t="s">
        <v>39</v>
      </c>
      <c r="D352" s="7" t="s">
        <v>38</v>
      </c>
      <c r="E352" s="7" t="s">
        <v>37</v>
      </c>
      <c r="F352" s="7" t="s">
        <v>36</v>
      </c>
      <c r="G352" s="7" t="s">
        <v>35</v>
      </c>
      <c r="M352" s="1"/>
      <c r="N352" s="1"/>
    </row>
    <row r="353" spans="1:14" x14ac:dyDescent="0.25">
      <c r="B353" s="2" t="s">
        <v>69</v>
      </c>
      <c r="C353" s="1" t="s">
        <v>7</v>
      </c>
      <c r="D353" s="2">
        <v>373.38</v>
      </c>
      <c r="E353" s="2">
        <v>1331.51</v>
      </c>
      <c r="F353" s="2">
        <v>234.38</v>
      </c>
      <c r="G353" s="8">
        <f t="shared" ref="G353:G362" si="18">D353+(F353*(D353/E353))</f>
        <v>439.10448152849023</v>
      </c>
      <c r="M353" s="1"/>
      <c r="N353" s="1"/>
    </row>
    <row r="354" spans="1:14" ht="13" x14ac:dyDescent="0.3">
      <c r="A354" s="4"/>
      <c r="B354" s="2">
        <v>25</v>
      </c>
      <c r="C354" s="1" t="s">
        <v>8</v>
      </c>
      <c r="D354" s="2">
        <v>117.06</v>
      </c>
      <c r="E354" s="2">
        <v>1331.51</v>
      </c>
      <c r="F354" s="2">
        <v>234.38</v>
      </c>
      <c r="G354" s="8">
        <f t="shared" si="18"/>
        <v>137.66557021727212</v>
      </c>
      <c r="M354" s="1"/>
      <c r="N354" s="1"/>
    </row>
    <row r="355" spans="1:14" x14ac:dyDescent="0.25">
      <c r="B355" s="2" t="s">
        <v>66</v>
      </c>
      <c r="C355" s="1" t="s">
        <v>9</v>
      </c>
      <c r="D355" s="2">
        <v>117.07</v>
      </c>
      <c r="E355" s="2">
        <v>1331.51</v>
      </c>
      <c r="F355" s="2">
        <v>234.38</v>
      </c>
      <c r="G355" s="8">
        <f t="shared" si="18"/>
        <v>137.67733047442377</v>
      </c>
      <c r="M355" s="1"/>
      <c r="N355" s="1"/>
    </row>
    <row r="356" spans="1:14" x14ac:dyDescent="0.25">
      <c r="C356" s="1" t="s">
        <v>10</v>
      </c>
      <c r="D356" s="2">
        <v>260.99</v>
      </c>
      <c r="E356" s="2">
        <v>1331.51</v>
      </c>
      <c r="F356" s="2">
        <v>234.38</v>
      </c>
      <c r="G356" s="8">
        <f t="shared" si="18"/>
        <v>306.93095140104094</v>
      </c>
      <c r="M356" s="1"/>
      <c r="N356" s="1"/>
    </row>
    <row r="357" spans="1:14" x14ac:dyDescent="0.25">
      <c r="C357" s="1" t="s">
        <v>11</v>
      </c>
      <c r="D357" s="2">
        <v>213.43</v>
      </c>
      <c r="E357" s="2">
        <v>1331.51</v>
      </c>
      <c r="F357" s="2">
        <v>234.38</v>
      </c>
      <c r="G357" s="8">
        <f t="shared" si="18"/>
        <v>250.99916838777028</v>
      </c>
      <c r="M357" s="1"/>
      <c r="N357" s="1"/>
    </row>
    <row r="358" spans="1:14" x14ac:dyDescent="0.25">
      <c r="C358" s="1" t="s">
        <v>12</v>
      </c>
      <c r="D358" s="2">
        <v>117.07</v>
      </c>
      <c r="E358" s="2">
        <v>1331.51</v>
      </c>
      <c r="F358" s="2">
        <v>234.38</v>
      </c>
      <c r="G358" s="8">
        <f t="shared" si="18"/>
        <v>137.67733047442377</v>
      </c>
      <c r="M358" s="1"/>
      <c r="N358" s="1"/>
    </row>
    <row r="359" spans="1:14" x14ac:dyDescent="0.25">
      <c r="C359" s="1" t="s">
        <v>13</v>
      </c>
      <c r="D359" s="2">
        <v>117.1</v>
      </c>
      <c r="E359" s="2">
        <v>1331.51</v>
      </c>
      <c r="F359" s="2">
        <v>234.38</v>
      </c>
      <c r="G359" s="8">
        <f t="shared" si="18"/>
        <v>137.71261124587875</v>
      </c>
      <c r="M359" s="1"/>
      <c r="N359" s="1"/>
    </row>
    <row r="360" spans="1:14" x14ac:dyDescent="0.25">
      <c r="C360" s="1" t="s">
        <v>22</v>
      </c>
      <c r="D360" s="2">
        <v>7.39</v>
      </c>
      <c r="E360" s="2">
        <v>1331.51</v>
      </c>
      <c r="F360" s="2">
        <v>234.38</v>
      </c>
      <c r="G360" s="8">
        <f t="shared" si="18"/>
        <v>8.6908300350729615</v>
      </c>
      <c r="M360" s="1"/>
      <c r="N360" s="1"/>
    </row>
    <row r="361" spans="1:14" x14ac:dyDescent="0.25">
      <c r="C361" s="1" t="s">
        <v>22</v>
      </c>
      <c r="D361" s="2">
        <v>5.47</v>
      </c>
      <c r="E361" s="2">
        <v>1331.51</v>
      </c>
      <c r="F361" s="2">
        <v>234.38</v>
      </c>
      <c r="G361" s="8">
        <f t="shared" si="18"/>
        <v>6.4328606619552238</v>
      </c>
      <c r="M361" s="1"/>
      <c r="N361" s="1"/>
    </row>
    <row r="362" spans="1:14" x14ac:dyDescent="0.25">
      <c r="C362" s="1" t="s">
        <v>46</v>
      </c>
      <c r="D362" s="2">
        <v>2.5499999999999998</v>
      </c>
      <c r="E362" s="2">
        <v>1331.51</v>
      </c>
      <c r="F362" s="2">
        <v>234.38</v>
      </c>
      <c r="G362" s="8">
        <f t="shared" si="18"/>
        <v>2.9988655736719965</v>
      </c>
      <c r="M362" s="1"/>
      <c r="N362" s="1"/>
    </row>
    <row r="363" spans="1:14" x14ac:dyDescent="0.25">
      <c r="M363" s="1"/>
      <c r="N363" s="1"/>
    </row>
    <row r="364" spans="1:14" x14ac:dyDescent="0.25">
      <c r="B364" s="2" t="s">
        <v>17</v>
      </c>
      <c r="D364" s="2">
        <f>SUM(D353:D362)</f>
        <v>1331.51</v>
      </c>
      <c r="G364" s="8">
        <f>SUM(G353:G362)</f>
        <v>1565.8899999999999</v>
      </c>
      <c r="I364" s="3">
        <f>SUM(G353:G359)</f>
        <v>1547.7674437292999</v>
      </c>
      <c r="J364" s="3">
        <f>SUM(D360:D361)</f>
        <v>12.86</v>
      </c>
      <c r="K364" s="3">
        <f>SUM(G362)</f>
        <v>2.9988655736719965</v>
      </c>
      <c r="L364" s="3">
        <f>SUM(I364:K364)</f>
        <v>1563.6263093029718</v>
      </c>
      <c r="M364" s="1"/>
      <c r="N364" s="1"/>
    </row>
    <row r="365" spans="1:14" x14ac:dyDescent="0.25">
      <c r="M365" s="1"/>
      <c r="N365" s="1"/>
    </row>
    <row r="366" spans="1:14" x14ac:dyDescent="0.25">
      <c r="M366" s="1"/>
      <c r="N366" s="1"/>
    </row>
    <row r="367" spans="1:14" s="4" customFormat="1" ht="13" x14ac:dyDescent="0.3">
      <c r="A367" s="1"/>
      <c r="B367" s="7" t="s">
        <v>40</v>
      </c>
      <c r="C367" s="7" t="s">
        <v>39</v>
      </c>
      <c r="D367" s="7" t="s">
        <v>38</v>
      </c>
      <c r="E367" s="7" t="s">
        <v>37</v>
      </c>
      <c r="F367" s="7" t="s">
        <v>36</v>
      </c>
      <c r="G367" s="7" t="s">
        <v>35</v>
      </c>
      <c r="I367" s="6"/>
      <c r="J367" s="6"/>
      <c r="K367" s="6"/>
      <c r="L367" s="6"/>
    </row>
    <row r="368" spans="1:14" x14ac:dyDescent="0.25">
      <c r="B368" s="2" t="s">
        <v>68</v>
      </c>
      <c r="C368" s="1" t="s">
        <v>7</v>
      </c>
      <c r="D368" s="2">
        <v>373.38</v>
      </c>
      <c r="E368" s="2">
        <v>1331.93</v>
      </c>
      <c r="F368" s="2">
        <v>234.38</v>
      </c>
      <c r="G368" s="8">
        <f t="shared" ref="G368:G376" si="19">D368+(F368*(D368/E368))</f>
        <v>439.08375650372017</v>
      </c>
      <c r="M368" s="1"/>
      <c r="N368" s="1"/>
    </row>
    <row r="369" spans="1:14" ht="13" x14ac:dyDescent="0.3">
      <c r="A369" s="4"/>
      <c r="B369" s="2">
        <v>26</v>
      </c>
      <c r="C369" s="1" t="s">
        <v>8</v>
      </c>
      <c r="D369" s="2">
        <v>117.06</v>
      </c>
      <c r="E369" s="2">
        <v>1331.93</v>
      </c>
      <c r="F369" s="2">
        <v>234.38</v>
      </c>
      <c r="G369" s="8">
        <f t="shared" si="19"/>
        <v>137.65907262393671</v>
      </c>
      <c r="M369" s="1"/>
      <c r="N369" s="1"/>
    </row>
    <row r="370" spans="1:14" x14ac:dyDescent="0.25">
      <c r="B370" s="2" t="s">
        <v>66</v>
      </c>
      <c r="C370" s="1" t="s">
        <v>9</v>
      </c>
      <c r="D370" s="2">
        <v>117.07</v>
      </c>
      <c r="E370" s="2">
        <v>1331.93</v>
      </c>
      <c r="F370" s="2">
        <v>234.38</v>
      </c>
      <c r="G370" s="8">
        <f t="shared" si="19"/>
        <v>137.67083232602312</v>
      </c>
      <c r="M370" s="1"/>
      <c r="N370" s="1"/>
    </row>
    <row r="371" spans="1:14" x14ac:dyDescent="0.25">
      <c r="C371" s="1" t="s">
        <v>10</v>
      </c>
      <c r="D371" s="2">
        <v>260.99</v>
      </c>
      <c r="E371" s="2">
        <v>1331.93</v>
      </c>
      <c r="F371" s="2">
        <v>234.38</v>
      </c>
      <c r="G371" s="8">
        <f t="shared" si="19"/>
        <v>306.91646475415376</v>
      </c>
      <c r="M371" s="1"/>
      <c r="N371" s="1"/>
    </row>
    <row r="372" spans="1:14" x14ac:dyDescent="0.25">
      <c r="C372" s="1" t="s">
        <v>11</v>
      </c>
      <c r="D372" s="2">
        <v>213.43</v>
      </c>
      <c r="E372" s="2">
        <v>1331.93</v>
      </c>
      <c r="F372" s="2">
        <v>234.38</v>
      </c>
      <c r="G372" s="8">
        <f t="shared" si="19"/>
        <v>250.98732163101664</v>
      </c>
      <c r="M372" s="1"/>
      <c r="N372" s="1"/>
    </row>
    <row r="373" spans="1:14" x14ac:dyDescent="0.25">
      <c r="C373" s="1" t="s">
        <v>12</v>
      </c>
      <c r="D373" s="2">
        <v>117.07</v>
      </c>
      <c r="E373" s="2">
        <v>1331.93</v>
      </c>
      <c r="F373" s="2">
        <v>234.38</v>
      </c>
      <c r="G373" s="8">
        <f t="shared" si="19"/>
        <v>137.67083232602312</v>
      </c>
      <c r="M373" s="1"/>
      <c r="N373" s="1"/>
    </row>
    <row r="374" spans="1:14" x14ac:dyDescent="0.25">
      <c r="C374" s="1" t="s">
        <v>13</v>
      </c>
      <c r="D374" s="2">
        <v>117.1</v>
      </c>
      <c r="E374" s="2">
        <v>1331.93</v>
      </c>
      <c r="F374" s="2">
        <v>234.38</v>
      </c>
      <c r="G374" s="8">
        <f t="shared" si="19"/>
        <v>137.70611143228246</v>
      </c>
      <c r="M374" s="1"/>
      <c r="N374" s="1"/>
    </row>
    <row r="375" spans="1:14" x14ac:dyDescent="0.25">
      <c r="C375" s="1" t="s">
        <v>22</v>
      </c>
      <c r="D375" s="2">
        <v>7.39</v>
      </c>
      <c r="E375" s="2">
        <v>1331.93</v>
      </c>
      <c r="F375" s="2">
        <v>234.38</v>
      </c>
      <c r="G375" s="8">
        <f t="shared" si="19"/>
        <v>8.6904198418835819</v>
      </c>
      <c r="M375" s="1"/>
      <c r="N375" s="1"/>
    </row>
    <row r="376" spans="1:14" x14ac:dyDescent="0.25">
      <c r="C376" s="1" t="s">
        <v>22</v>
      </c>
      <c r="D376" s="2">
        <v>8.44</v>
      </c>
      <c r="E376" s="2">
        <v>1331.93</v>
      </c>
      <c r="F376" s="2">
        <v>234.38</v>
      </c>
      <c r="G376" s="8">
        <f t="shared" si="19"/>
        <v>9.9251885609604109</v>
      </c>
      <c r="M376" s="1"/>
      <c r="N376" s="1"/>
    </row>
    <row r="377" spans="1:14" x14ac:dyDescent="0.25">
      <c r="M377" s="1"/>
      <c r="N377" s="1"/>
    </row>
    <row r="378" spans="1:14" x14ac:dyDescent="0.25">
      <c r="B378" s="2" t="s">
        <v>17</v>
      </c>
      <c r="D378" s="2">
        <f>SUM(D368:D376)</f>
        <v>1331.93</v>
      </c>
      <c r="G378" s="8">
        <f>SUM(G368:G376)</f>
        <v>1566.31</v>
      </c>
      <c r="I378" s="3">
        <f>SUM(G368:G374)</f>
        <v>1547.694391597156</v>
      </c>
      <c r="J378" s="3">
        <f>SUM(D375:D376)</f>
        <v>15.829999999999998</v>
      </c>
      <c r="K378" s="3">
        <v>0</v>
      </c>
      <c r="L378" s="3">
        <f>SUM(I378:K378)</f>
        <v>1563.524391597156</v>
      </c>
      <c r="M378" s="1"/>
      <c r="N378" s="1"/>
    </row>
    <row r="379" spans="1:14" x14ac:dyDescent="0.25">
      <c r="M379" s="1"/>
      <c r="N379" s="1"/>
    </row>
    <row r="380" spans="1:14" x14ac:dyDescent="0.25">
      <c r="M380" s="1"/>
      <c r="N380" s="1"/>
    </row>
    <row r="381" spans="1:14" ht="13" x14ac:dyDescent="0.3">
      <c r="B381" s="7" t="s">
        <v>40</v>
      </c>
      <c r="C381" s="7" t="s">
        <v>39</v>
      </c>
      <c r="D381" s="7" t="s">
        <v>38</v>
      </c>
      <c r="E381" s="7" t="s">
        <v>37</v>
      </c>
      <c r="F381" s="7" t="s">
        <v>36</v>
      </c>
      <c r="G381" s="7" t="s">
        <v>35</v>
      </c>
      <c r="M381" s="1"/>
      <c r="N381" s="1"/>
    </row>
    <row r="382" spans="1:14" x14ac:dyDescent="0.25">
      <c r="B382" s="2" t="s">
        <v>67</v>
      </c>
      <c r="C382" s="1" t="s">
        <v>7</v>
      </c>
      <c r="D382" s="2">
        <v>373.38</v>
      </c>
      <c r="E382" s="2">
        <v>1331.51</v>
      </c>
      <c r="F382" s="2">
        <v>234.38</v>
      </c>
      <c r="G382" s="8">
        <f t="shared" ref="G382:G390" si="20">D382+(F382*(D382/E382))</f>
        <v>439.10448152849023</v>
      </c>
      <c r="M382" s="1"/>
      <c r="N382" s="1"/>
    </row>
    <row r="383" spans="1:14" ht="13" x14ac:dyDescent="0.3">
      <c r="A383" s="4"/>
      <c r="B383" s="2">
        <v>27</v>
      </c>
      <c r="C383" s="1" t="s">
        <v>8</v>
      </c>
      <c r="D383" s="2">
        <v>117.06</v>
      </c>
      <c r="E383" s="2">
        <v>1331.51</v>
      </c>
      <c r="F383" s="2">
        <v>234.38</v>
      </c>
      <c r="G383" s="8">
        <f t="shared" si="20"/>
        <v>137.66557021727212</v>
      </c>
      <c r="M383" s="1"/>
      <c r="N383" s="1"/>
    </row>
    <row r="384" spans="1:14" x14ac:dyDescent="0.25">
      <c r="B384" s="2" t="s">
        <v>66</v>
      </c>
      <c r="C384" s="1" t="s">
        <v>9</v>
      </c>
      <c r="D384" s="2">
        <v>117.07</v>
      </c>
      <c r="E384" s="2">
        <v>1331.51</v>
      </c>
      <c r="F384" s="2">
        <v>234.38</v>
      </c>
      <c r="G384" s="8">
        <f t="shared" si="20"/>
        <v>137.67733047442377</v>
      </c>
      <c r="M384" s="1"/>
      <c r="N384" s="1"/>
    </row>
    <row r="385" spans="1:14" x14ac:dyDescent="0.25">
      <c r="B385" s="2" t="s">
        <v>64</v>
      </c>
      <c r="C385" s="1" t="s">
        <v>10</v>
      </c>
      <c r="D385" s="2">
        <v>260.99</v>
      </c>
      <c r="E385" s="2">
        <v>1331.51</v>
      </c>
      <c r="F385" s="2">
        <v>234.38</v>
      </c>
      <c r="G385" s="8">
        <f t="shared" si="20"/>
        <v>306.93095140104094</v>
      </c>
      <c r="M385" s="1"/>
      <c r="N385" s="1"/>
    </row>
    <row r="386" spans="1:14" x14ac:dyDescent="0.25">
      <c r="B386" s="2" t="s">
        <v>63</v>
      </c>
      <c r="C386" s="1" t="s">
        <v>11</v>
      </c>
      <c r="D386" s="2">
        <v>213.43</v>
      </c>
      <c r="E386" s="2">
        <v>1331.51</v>
      </c>
      <c r="F386" s="2">
        <v>234.38</v>
      </c>
      <c r="G386" s="8">
        <f t="shared" si="20"/>
        <v>250.99916838777028</v>
      </c>
      <c r="M386" s="1"/>
      <c r="N386" s="1"/>
    </row>
    <row r="387" spans="1:14" x14ac:dyDescent="0.25">
      <c r="C387" s="1" t="s">
        <v>12</v>
      </c>
      <c r="D387" s="2">
        <v>117.07</v>
      </c>
      <c r="E387" s="2">
        <v>1331.51</v>
      </c>
      <c r="F387" s="2">
        <v>234.38</v>
      </c>
      <c r="G387" s="8">
        <f t="shared" si="20"/>
        <v>137.67733047442377</v>
      </c>
      <c r="M387" s="1"/>
      <c r="N387" s="1"/>
    </row>
    <row r="388" spans="1:14" x14ac:dyDescent="0.25">
      <c r="C388" s="1" t="s">
        <v>13</v>
      </c>
      <c r="D388" s="2">
        <v>117.1</v>
      </c>
      <c r="E388" s="2">
        <v>1331.51</v>
      </c>
      <c r="F388" s="2">
        <v>234.38</v>
      </c>
      <c r="G388" s="8">
        <f t="shared" si="20"/>
        <v>137.71261124587875</v>
      </c>
      <c r="M388" s="1"/>
      <c r="N388" s="1"/>
    </row>
    <row r="389" spans="1:14" x14ac:dyDescent="0.25">
      <c r="C389" s="1" t="s">
        <v>22</v>
      </c>
      <c r="D389" s="2">
        <v>7.39</v>
      </c>
      <c r="E389" s="2">
        <v>1331.51</v>
      </c>
      <c r="F389" s="2">
        <v>234.38</v>
      </c>
      <c r="G389" s="8">
        <f t="shared" si="20"/>
        <v>8.6908300350729615</v>
      </c>
      <c r="M389" s="1"/>
      <c r="N389" s="1"/>
    </row>
    <row r="390" spans="1:14" x14ac:dyDescent="0.25">
      <c r="C390" s="1" t="s">
        <v>22</v>
      </c>
      <c r="D390" s="2">
        <v>8.36</v>
      </c>
      <c r="E390" s="2">
        <v>1331.51</v>
      </c>
      <c r="F390" s="2">
        <v>234.38</v>
      </c>
      <c r="G390" s="8">
        <f t="shared" si="20"/>
        <v>9.8315749787834861</v>
      </c>
      <c r="M390" s="1"/>
      <c r="N390" s="1"/>
    </row>
    <row r="391" spans="1:14" x14ac:dyDescent="0.25">
      <c r="G391" s="8"/>
      <c r="M391" s="1"/>
      <c r="N391" s="1"/>
    </row>
    <row r="392" spans="1:14" x14ac:dyDescent="0.25">
      <c r="B392" s="2" t="s">
        <v>17</v>
      </c>
      <c r="D392" s="2">
        <f>SUM(D382:D391)</f>
        <v>1331.85</v>
      </c>
      <c r="G392" s="8">
        <f>SUM(G382:G391)</f>
        <v>1566.2898487431562</v>
      </c>
      <c r="I392" s="3">
        <f>SUM(G382:G388)</f>
        <v>1547.7674437292999</v>
      </c>
      <c r="J392" s="3">
        <f>SUM(D389:D390)</f>
        <v>15.75</v>
      </c>
      <c r="K392" s="3">
        <v>0</v>
      </c>
      <c r="L392" s="3">
        <f>SUM(I392:K392)</f>
        <v>1563.5174437292999</v>
      </c>
      <c r="M392" s="1"/>
      <c r="N392" s="1"/>
    </row>
    <row r="393" spans="1:14" ht="13" thickBot="1" x14ac:dyDescent="0.3">
      <c r="M393" s="1"/>
      <c r="N393" s="1"/>
    </row>
    <row r="394" spans="1:14" x14ac:dyDescent="0.25">
      <c r="C394" s="10"/>
      <c r="D394" s="9"/>
      <c r="E394" s="9"/>
      <c r="F394" s="9"/>
      <c r="G394" s="9"/>
      <c r="M394" s="1"/>
      <c r="N394" s="1"/>
    </row>
    <row r="395" spans="1:14" ht="13" x14ac:dyDescent="0.3">
      <c r="B395" s="7" t="s">
        <v>40</v>
      </c>
      <c r="C395" s="7" t="s">
        <v>39</v>
      </c>
      <c r="D395" s="7" t="s">
        <v>38</v>
      </c>
      <c r="E395" s="7" t="s">
        <v>37</v>
      </c>
      <c r="F395" s="7" t="s">
        <v>36</v>
      </c>
      <c r="G395" s="7" t="s">
        <v>35</v>
      </c>
      <c r="M395" s="1"/>
      <c r="N395" s="1"/>
    </row>
    <row r="396" spans="1:14" x14ac:dyDescent="0.25">
      <c r="B396" s="2" t="s">
        <v>65</v>
      </c>
      <c r="C396" s="1" t="s">
        <v>7</v>
      </c>
      <c r="D396" s="2">
        <v>373.38</v>
      </c>
      <c r="E396" s="2">
        <v>1331.04</v>
      </c>
      <c r="F396" s="2">
        <v>234.06</v>
      </c>
      <c r="G396" s="8">
        <f t="shared" ref="G396:G405" si="21">D396+(F396*(D396/E396))</f>
        <v>439.03792372881355</v>
      </c>
      <c r="M396" s="1"/>
      <c r="N396" s="1"/>
    </row>
    <row r="397" spans="1:14" ht="13" x14ac:dyDescent="0.3">
      <c r="A397" s="4"/>
      <c r="B397" s="2">
        <v>28</v>
      </c>
      <c r="C397" s="1" t="s">
        <v>8</v>
      </c>
      <c r="D397" s="2">
        <v>117.06</v>
      </c>
      <c r="E397" s="2">
        <v>1331.04</v>
      </c>
      <c r="F397" s="2">
        <v>234.06</v>
      </c>
      <c r="G397" s="8">
        <f t="shared" si="21"/>
        <v>137.64470338983051</v>
      </c>
      <c r="M397" s="1"/>
      <c r="N397" s="1"/>
    </row>
    <row r="398" spans="1:14" x14ac:dyDescent="0.25">
      <c r="B398" s="2" t="s">
        <v>47</v>
      </c>
      <c r="C398" s="1" t="s">
        <v>9</v>
      </c>
      <c r="D398" s="2">
        <v>117.07</v>
      </c>
      <c r="E398" s="2">
        <v>1331.04</v>
      </c>
      <c r="F398" s="2">
        <v>234.06</v>
      </c>
      <c r="G398" s="8">
        <f t="shared" si="21"/>
        <v>137.65646186440677</v>
      </c>
      <c r="M398" s="1"/>
      <c r="N398" s="1"/>
    </row>
    <row r="399" spans="1:14" x14ac:dyDescent="0.25">
      <c r="B399" s="2" t="s">
        <v>64</v>
      </c>
      <c r="C399" s="1" t="s">
        <v>10</v>
      </c>
      <c r="D399" s="2">
        <v>260.99</v>
      </c>
      <c r="E399" s="2">
        <v>1331.04</v>
      </c>
      <c r="F399" s="2">
        <v>234.06</v>
      </c>
      <c r="G399" s="8">
        <f t="shared" si="21"/>
        <v>306.88442796610173</v>
      </c>
      <c r="M399" s="1"/>
      <c r="N399" s="1"/>
    </row>
    <row r="400" spans="1:14" x14ac:dyDescent="0.25">
      <c r="B400" s="2" t="s">
        <v>63</v>
      </c>
      <c r="C400" s="1" t="s">
        <v>11</v>
      </c>
      <c r="D400" s="2">
        <v>210.07</v>
      </c>
      <c r="E400" s="2">
        <v>1331.04</v>
      </c>
      <c r="F400" s="2">
        <v>234.06</v>
      </c>
      <c r="G400" s="8">
        <f t="shared" si="21"/>
        <v>247.01027542372881</v>
      </c>
      <c r="M400" s="1"/>
      <c r="N400" s="1"/>
    </row>
    <row r="401" spans="1:14" x14ac:dyDescent="0.25">
      <c r="C401" s="1" t="s">
        <v>12</v>
      </c>
      <c r="D401" s="2">
        <v>117.07</v>
      </c>
      <c r="E401" s="2">
        <v>1331.04</v>
      </c>
      <c r="F401" s="2">
        <v>234.06</v>
      </c>
      <c r="G401" s="8">
        <f t="shared" si="21"/>
        <v>137.65646186440677</v>
      </c>
      <c r="M401" s="1"/>
      <c r="N401" s="1"/>
    </row>
    <row r="402" spans="1:14" x14ac:dyDescent="0.25">
      <c r="C402" s="1" t="s">
        <v>13</v>
      </c>
      <c r="D402" s="2">
        <v>117.1</v>
      </c>
      <c r="E402" s="2">
        <v>1331.04</v>
      </c>
      <c r="F402" s="2">
        <v>234.06</v>
      </c>
      <c r="G402" s="8">
        <f t="shared" si="21"/>
        <v>137.69173728813558</v>
      </c>
      <c r="M402" s="1"/>
      <c r="N402" s="1"/>
    </row>
    <row r="403" spans="1:14" x14ac:dyDescent="0.25">
      <c r="C403" s="1" t="s">
        <v>22</v>
      </c>
      <c r="D403" s="2">
        <v>7.39</v>
      </c>
      <c r="E403" s="2">
        <v>1331.04</v>
      </c>
      <c r="F403" s="2">
        <v>234.06</v>
      </c>
      <c r="G403" s="8">
        <f t="shared" si="21"/>
        <v>8.6895127118644062</v>
      </c>
      <c r="M403" s="1"/>
      <c r="N403" s="1"/>
    </row>
    <row r="404" spans="1:14" x14ac:dyDescent="0.25">
      <c r="C404" s="1" t="s">
        <v>22</v>
      </c>
      <c r="D404" s="2">
        <v>8.44</v>
      </c>
      <c r="E404" s="2">
        <v>1331.04</v>
      </c>
      <c r="F404" s="2">
        <v>234.06</v>
      </c>
      <c r="G404" s="8">
        <f t="shared" si="21"/>
        <v>9.9241525423728802</v>
      </c>
      <c r="M404" s="1"/>
      <c r="N404" s="1"/>
    </row>
    <row r="405" spans="1:14" x14ac:dyDescent="0.25">
      <c r="C405" s="1" t="s">
        <v>46</v>
      </c>
      <c r="D405" s="2">
        <v>2.4700000000000002</v>
      </c>
      <c r="E405" s="2">
        <v>1331.04</v>
      </c>
      <c r="F405" s="2">
        <v>234.06</v>
      </c>
      <c r="G405" s="8">
        <f t="shared" si="21"/>
        <v>2.9043432203389834</v>
      </c>
      <c r="M405" s="1"/>
      <c r="N405" s="1"/>
    </row>
    <row r="406" spans="1:14" x14ac:dyDescent="0.25">
      <c r="M406" s="1"/>
      <c r="N406" s="1"/>
    </row>
    <row r="407" spans="1:14" x14ac:dyDescent="0.25">
      <c r="B407" s="2" t="s">
        <v>17</v>
      </c>
      <c r="D407" s="2">
        <f>SUM(D396:D405)</f>
        <v>1331.04</v>
      </c>
      <c r="G407" s="8">
        <f>SUM(G396:G405)</f>
        <v>1565.1</v>
      </c>
      <c r="I407" s="3">
        <f>SUM(G396:G402)</f>
        <v>1543.5819915254237</v>
      </c>
      <c r="J407" s="3">
        <f>SUM(D403:D404)</f>
        <v>15.829999999999998</v>
      </c>
      <c r="K407" s="3">
        <f>SUM(G405)</f>
        <v>2.9043432203389834</v>
      </c>
      <c r="L407" s="3">
        <f>SUM(I407:K407)</f>
        <v>1562.3163347457626</v>
      </c>
      <c r="M407" s="1"/>
      <c r="N407" s="1"/>
    </row>
    <row r="408" spans="1:14" x14ac:dyDescent="0.25">
      <c r="M408" s="1"/>
      <c r="N408" s="1"/>
    </row>
    <row r="410" spans="1:14" ht="13" x14ac:dyDescent="0.3">
      <c r="B410" s="7" t="s">
        <v>40</v>
      </c>
      <c r="C410" s="7" t="s">
        <v>39</v>
      </c>
      <c r="D410" s="7" t="s">
        <v>38</v>
      </c>
      <c r="E410" s="7" t="s">
        <v>37</v>
      </c>
      <c r="F410" s="7" t="s">
        <v>36</v>
      </c>
      <c r="G410" s="7" t="s">
        <v>35</v>
      </c>
      <c r="H410" s="4"/>
      <c r="I410" s="6"/>
      <c r="J410" s="6"/>
      <c r="K410" s="6"/>
      <c r="L410" s="6"/>
      <c r="M410" s="5"/>
      <c r="N410" s="5"/>
    </row>
    <row r="411" spans="1:14" ht="13" x14ac:dyDescent="0.3">
      <c r="B411" s="2" t="s">
        <v>62</v>
      </c>
      <c r="C411" s="1" t="s">
        <v>7</v>
      </c>
      <c r="D411" s="2">
        <v>416.86</v>
      </c>
      <c r="E411" s="2">
        <v>1356.23</v>
      </c>
      <c r="F411" s="2">
        <v>256.08999999999997</v>
      </c>
      <c r="G411" s="8">
        <f t="shared" ref="G411:G417" si="22">D411+(F411*(D411/E411))</f>
        <v>495.57354961916491</v>
      </c>
      <c r="H411" s="4"/>
      <c r="I411" s="6"/>
      <c r="J411" s="6"/>
      <c r="K411" s="6"/>
      <c r="L411" s="6"/>
      <c r="M411" s="5"/>
      <c r="N411" s="5"/>
    </row>
    <row r="412" spans="1:14" ht="13" x14ac:dyDescent="0.3">
      <c r="A412" s="4"/>
      <c r="B412" s="2">
        <v>29</v>
      </c>
      <c r="C412" s="1" t="s">
        <v>8</v>
      </c>
      <c r="D412" s="2">
        <v>117.06</v>
      </c>
      <c r="E412" s="2">
        <v>1356.23</v>
      </c>
      <c r="F412" s="2">
        <v>256.08999999999997</v>
      </c>
      <c r="G412" s="8">
        <f t="shared" si="22"/>
        <v>139.16384330091503</v>
      </c>
      <c r="H412" s="4"/>
      <c r="I412" s="6"/>
      <c r="J412" s="6"/>
      <c r="K412" s="6"/>
      <c r="L412" s="6"/>
      <c r="M412" s="5"/>
      <c r="N412" s="5"/>
    </row>
    <row r="413" spans="1:14" ht="13" x14ac:dyDescent="0.3">
      <c r="A413" s="4"/>
      <c r="B413" s="2" t="s">
        <v>47</v>
      </c>
      <c r="C413" s="1" t="s">
        <v>9</v>
      </c>
      <c r="D413" s="2">
        <v>117.07</v>
      </c>
      <c r="E413" s="2">
        <v>1356.23</v>
      </c>
      <c r="F413" s="2">
        <v>256.08999999999997</v>
      </c>
      <c r="G413" s="8">
        <f t="shared" si="22"/>
        <v>139.17573154995833</v>
      </c>
      <c r="H413" s="4"/>
      <c r="I413" s="6"/>
      <c r="J413" s="6"/>
      <c r="K413" s="6"/>
      <c r="L413" s="6"/>
      <c r="M413" s="5"/>
      <c r="N413" s="5"/>
    </row>
    <row r="414" spans="1:14" ht="13" x14ac:dyDescent="0.3">
      <c r="A414" s="4"/>
      <c r="C414" s="1" t="s">
        <v>10</v>
      </c>
      <c r="D414" s="2">
        <v>260.99</v>
      </c>
      <c r="E414" s="2">
        <v>1356.23</v>
      </c>
      <c r="F414" s="2">
        <v>256.08999999999997</v>
      </c>
      <c r="G414" s="8">
        <f t="shared" si="22"/>
        <v>310.27141178118757</v>
      </c>
      <c r="H414" s="4"/>
      <c r="I414" s="6"/>
      <c r="J414" s="6"/>
      <c r="K414" s="6"/>
      <c r="L414" s="6"/>
      <c r="M414" s="5"/>
      <c r="N414" s="5"/>
    </row>
    <row r="415" spans="1:14" ht="13" x14ac:dyDescent="0.3">
      <c r="A415" s="4"/>
      <c r="C415" s="1" t="s">
        <v>11</v>
      </c>
      <c r="D415" s="2">
        <v>210.07</v>
      </c>
      <c r="E415" s="2">
        <v>1356.23</v>
      </c>
      <c r="F415" s="2">
        <v>256.08999999999997</v>
      </c>
      <c r="G415" s="8">
        <f t="shared" si="22"/>
        <v>249.73644765268426</v>
      </c>
      <c r="H415" s="4"/>
      <c r="I415" s="6"/>
      <c r="J415" s="6"/>
      <c r="K415" s="6"/>
      <c r="L415" s="6"/>
      <c r="M415" s="5"/>
      <c r="N415" s="5"/>
    </row>
    <row r="416" spans="1:14" ht="13" x14ac:dyDescent="0.3">
      <c r="A416" s="4"/>
      <c r="C416" s="1" t="s">
        <v>12</v>
      </c>
      <c r="D416" s="2">
        <v>117.07</v>
      </c>
      <c r="E416" s="2">
        <v>1356.23</v>
      </c>
      <c r="F416" s="2">
        <v>256.08999999999997</v>
      </c>
      <c r="G416" s="8">
        <f t="shared" si="22"/>
        <v>139.17573154995833</v>
      </c>
      <c r="H416" s="4"/>
      <c r="I416" s="6"/>
      <c r="J416" s="6"/>
      <c r="K416" s="6"/>
      <c r="L416" s="6"/>
      <c r="M416" s="5"/>
      <c r="N416" s="5"/>
    </row>
    <row r="417" spans="1:14" ht="13" x14ac:dyDescent="0.3">
      <c r="A417" s="4"/>
      <c r="C417" s="1" t="s">
        <v>13</v>
      </c>
      <c r="D417" s="2">
        <v>117.11</v>
      </c>
      <c r="E417" s="2">
        <v>1356.23</v>
      </c>
      <c r="F417" s="2">
        <v>256.08999999999997</v>
      </c>
      <c r="G417" s="8">
        <f t="shared" si="22"/>
        <v>139.22328454613154</v>
      </c>
      <c r="H417" s="4"/>
      <c r="I417" s="6"/>
      <c r="J417" s="6"/>
      <c r="K417" s="6"/>
      <c r="L417" s="6"/>
      <c r="M417" s="5"/>
      <c r="N417" s="5"/>
    </row>
    <row r="418" spans="1:14" ht="13" x14ac:dyDescent="0.3">
      <c r="A418" s="4"/>
      <c r="H418" s="4"/>
      <c r="I418" s="6"/>
      <c r="J418" s="6"/>
      <c r="K418" s="6"/>
      <c r="L418" s="6"/>
      <c r="M418" s="5"/>
      <c r="N418" s="5"/>
    </row>
    <row r="419" spans="1:14" ht="13" x14ac:dyDescent="0.3">
      <c r="A419" s="4"/>
      <c r="B419" s="2" t="s">
        <v>17</v>
      </c>
      <c r="D419" s="2">
        <f>SUM(D411:D417)</f>
        <v>1356.2299999999998</v>
      </c>
      <c r="G419" s="2">
        <f>SUM(G411:G417)</f>
        <v>1612.32</v>
      </c>
      <c r="H419" s="4"/>
      <c r="I419" s="6">
        <f>SUM(G411:G417)</f>
        <v>1612.32</v>
      </c>
      <c r="J419" s="6">
        <v>0</v>
      </c>
      <c r="K419" s="6">
        <v>0</v>
      </c>
      <c r="L419" s="6">
        <f>SUM(I419:K419)</f>
        <v>1612.32</v>
      </c>
      <c r="M419" s="5"/>
      <c r="N419" s="5"/>
    </row>
    <row r="420" spans="1:14" ht="13" x14ac:dyDescent="0.3">
      <c r="A420" s="4"/>
      <c r="B420" s="5"/>
      <c r="C420" s="5"/>
      <c r="D420" s="5"/>
      <c r="E420" s="5"/>
      <c r="F420" s="5"/>
      <c r="G420" s="5"/>
      <c r="H420" s="4"/>
      <c r="I420" s="6"/>
      <c r="J420" s="6"/>
      <c r="K420" s="6"/>
      <c r="L420" s="6"/>
      <c r="M420" s="5"/>
      <c r="N420" s="5"/>
    </row>
    <row r="421" spans="1:14" ht="13" x14ac:dyDescent="0.3">
      <c r="A421" s="4"/>
      <c r="B421" s="7" t="s">
        <v>40</v>
      </c>
      <c r="C421" s="7" t="s">
        <v>39</v>
      </c>
      <c r="D421" s="7" t="s">
        <v>38</v>
      </c>
      <c r="E421" s="7" t="s">
        <v>37</v>
      </c>
      <c r="F421" s="7" t="s">
        <v>36</v>
      </c>
      <c r="G421" s="7" t="s">
        <v>35</v>
      </c>
      <c r="H421" s="4"/>
      <c r="I421" s="6"/>
      <c r="J421" s="6"/>
      <c r="K421" s="6"/>
      <c r="L421" s="6"/>
      <c r="M421" s="5"/>
      <c r="N421" s="5"/>
    </row>
    <row r="422" spans="1:14" ht="13" x14ac:dyDescent="0.3">
      <c r="A422" s="4"/>
      <c r="B422" s="2" t="s">
        <v>61</v>
      </c>
      <c r="C422" s="1" t="s">
        <v>7</v>
      </c>
      <c r="D422" s="2">
        <v>196.43</v>
      </c>
      <c r="E422" s="2">
        <v>1474.75</v>
      </c>
      <c r="F422" s="2">
        <v>155.84</v>
      </c>
      <c r="G422" s="8">
        <f t="shared" ref="G422:G427" si="23">D422+(F422*(D422/E422))</f>
        <v>217.18717999660961</v>
      </c>
      <c r="H422" s="4"/>
      <c r="I422" s="6"/>
      <c r="J422" s="6"/>
      <c r="K422" s="6"/>
      <c r="L422" s="6"/>
      <c r="M422" s="5"/>
      <c r="N422" s="5"/>
    </row>
    <row r="423" spans="1:14" ht="13" x14ac:dyDescent="0.3">
      <c r="A423" s="4"/>
      <c r="B423" s="2">
        <v>30</v>
      </c>
      <c r="C423" s="1" t="s">
        <v>8</v>
      </c>
      <c r="D423" s="2">
        <v>117.67</v>
      </c>
      <c r="E423" s="2">
        <v>1474.75</v>
      </c>
      <c r="F423" s="2">
        <v>155.84</v>
      </c>
      <c r="G423" s="8">
        <f t="shared" si="23"/>
        <v>130.10444163417529</v>
      </c>
      <c r="H423" s="4"/>
      <c r="I423" s="6"/>
      <c r="J423" s="6"/>
      <c r="K423" s="6"/>
      <c r="L423" s="6"/>
      <c r="M423" s="5"/>
      <c r="N423" s="5"/>
    </row>
    <row r="424" spans="1:14" ht="13" x14ac:dyDescent="0.3">
      <c r="A424" s="4"/>
      <c r="B424" s="2" t="s">
        <v>47</v>
      </c>
      <c r="C424" s="1" t="s">
        <v>9</v>
      </c>
      <c r="D424" s="2">
        <v>322.07</v>
      </c>
      <c r="E424" s="2">
        <v>1474.75</v>
      </c>
      <c r="F424" s="2">
        <v>155.84</v>
      </c>
      <c r="G424" s="8">
        <f t="shared" si="23"/>
        <v>356.10382864892352</v>
      </c>
      <c r="H424" s="4"/>
      <c r="I424" s="6"/>
      <c r="J424" s="6"/>
      <c r="K424" s="6"/>
      <c r="L424" s="6"/>
      <c r="M424" s="5"/>
      <c r="N424" s="5"/>
    </row>
    <row r="425" spans="1:14" ht="13" x14ac:dyDescent="0.3">
      <c r="A425" s="4"/>
      <c r="C425" s="1" t="s">
        <v>10</v>
      </c>
      <c r="D425" s="2">
        <v>274.58999999999997</v>
      </c>
      <c r="E425" s="2">
        <v>1474.75</v>
      </c>
      <c r="F425" s="2">
        <v>155.84</v>
      </c>
      <c r="G425" s="8">
        <f t="shared" si="23"/>
        <v>303.60651507035089</v>
      </c>
      <c r="H425" s="4"/>
      <c r="I425" s="6"/>
      <c r="J425" s="6"/>
      <c r="K425" s="6"/>
      <c r="L425" s="6"/>
      <c r="M425" s="5"/>
      <c r="N425" s="5"/>
    </row>
    <row r="426" spans="1:14" ht="13" x14ac:dyDescent="0.3">
      <c r="A426" s="4"/>
      <c r="C426" s="1" t="s">
        <v>11</v>
      </c>
      <c r="D426" s="2">
        <v>117.73</v>
      </c>
      <c r="E426" s="2">
        <v>1474.75</v>
      </c>
      <c r="F426" s="2">
        <v>155.84</v>
      </c>
      <c r="G426" s="8">
        <f t="shared" si="23"/>
        <v>130.17078196304459</v>
      </c>
      <c r="H426" s="4"/>
      <c r="I426" s="6"/>
      <c r="J426" s="6"/>
      <c r="K426" s="6"/>
      <c r="L426" s="6"/>
      <c r="M426" s="5"/>
      <c r="N426" s="5"/>
    </row>
    <row r="427" spans="1:14" ht="13" x14ac:dyDescent="0.3">
      <c r="A427" s="4"/>
      <c r="C427" s="1" t="s">
        <v>12</v>
      </c>
      <c r="D427" s="2">
        <v>446.26</v>
      </c>
      <c r="E427" s="2">
        <v>1474.75</v>
      </c>
      <c r="F427" s="2">
        <v>155.84</v>
      </c>
      <c r="G427" s="8">
        <f t="shared" si="23"/>
        <v>493.41725268689606</v>
      </c>
      <c r="H427" s="4"/>
      <c r="I427" s="6"/>
      <c r="J427" s="6"/>
      <c r="K427" s="6"/>
      <c r="L427" s="6"/>
      <c r="M427" s="5"/>
      <c r="N427" s="5"/>
    </row>
    <row r="428" spans="1:14" ht="13" x14ac:dyDescent="0.3">
      <c r="A428" s="4"/>
      <c r="H428" s="4"/>
      <c r="I428" s="6"/>
      <c r="J428" s="6"/>
      <c r="K428" s="6"/>
      <c r="L428" s="6"/>
      <c r="M428" s="5"/>
      <c r="N428" s="5"/>
    </row>
    <row r="429" spans="1:14" ht="13" x14ac:dyDescent="0.3">
      <c r="A429" s="4"/>
      <c r="B429" s="2" t="s">
        <v>17</v>
      </c>
      <c r="D429" s="2">
        <f>SUM(D422:D427)</f>
        <v>1474.75</v>
      </c>
      <c r="G429" s="2">
        <f>SUM(G422:G427)</f>
        <v>1630.5900000000001</v>
      </c>
      <c r="H429" s="4"/>
      <c r="I429" s="6">
        <f>SUM(G422:G427)</f>
        <v>1630.5900000000001</v>
      </c>
      <c r="J429" s="6">
        <v>0</v>
      </c>
      <c r="K429" s="6">
        <v>0</v>
      </c>
      <c r="L429" s="6">
        <f>SUM(I429:K429)</f>
        <v>1630.5900000000001</v>
      </c>
      <c r="M429" s="5"/>
      <c r="N429" s="5"/>
    </row>
    <row r="430" spans="1:14" ht="13" x14ac:dyDescent="0.3">
      <c r="A430" s="4"/>
    </row>
    <row r="431" spans="1:14" ht="13" x14ac:dyDescent="0.3">
      <c r="A431" s="4"/>
      <c r="B431" s="7" t="s">
        <v>40</v>
      </c>
      <c r="C431" s="7" t="s">
        <v>39</v>
      </c>
      <c r="D431" s="7" t="s">
        <v>38</v>
      </c>
      <c r="E431" s="7" t="s">
        <v>37</v>
      </c>
      <c r="F431" s="7" t="s">
        <v>36</v>
      </c>
      <c r="G431" s="7" t="s">
        <v>35</v>
      </c>
      <c r="H431" s="4"/>
      <c r="I431" s="6"/>
      <c r="J431" s="6"/>
      <c r="K431" s="6"/>
      <c r="L431" s="6"/>
      <c r="M431" s="5"/>
      <c r="N431" s="5"/>
    </row>
    <row r="432" spans="1:14" x14ac:dyDescent="0.25">
      <c r="B432" s="2" t="s">
        <v>60</v>
      </c>
      <c r="C432" s="1" t="s">
        <v>7</v>
      </c>
      <c r="D432" s="2">
        <v>191.31</v>
      </c>
      <c r="E432" s="2">
        <v>1460.54</v>
      </c>
      <c r="F432" s="2">
        <v>165.83</v>
      </c>
      <c r="G432" s="8">
        <f t="shared" ref="G432:G438" si="24">D432+(F432*(D432/E432))</f>
        <v>213.03137517630466</v>
      </c>
    </row>
    <row r="433" spans="1:14" ht="13" x14ac:dyDescent="0.3">
      <c r="A433" s="4"/>
      <c r="B433" s="2">
        <v>31</v>
      </c>
      <c r="C433" s="1" t="s">
        <v>8</v>
      </c>
      <c r="D433" s="2">
        <v>116.21</v>
      </c>
      <c r="E433" s="2">
        <v>1460.54</v>
      </c>
      <c r="F433" s="2">
        <v>165.83</v>
      </c>
      <c r="G433" s="8">
        <f t="shared" si="24"/>
        <v>129.40450634696757</v>
      </c>
    </row>
    <row r="434" spans="1:14" x14ac:dyDescent="0.25">
      <c r="B434" s="2" t="s">
        <v>47</v>
      </c>
      <c r="C434" s="1" t="s">
        <v>9</v>
      </c>
      <c r="D434" s="2">
        <v>321.42</v>
      </c>
      <c r="E434" s="2">
        <v>1460.54</v>
      </c>
      <c r="F434" s="2">
        <v>165.83</v>
      </c>
      <c r="G434" s="8">
        <f t="shared" si="24"/>
        <v>357.91409026798311</v>
      </c>
    </row>
    <row r="435" spans="1:14" x14ac:dyDescent="0.25">
      <c r="C435" s="1" t="s">
        <v>10</v>
      </c>
      <c r="D435" s="2">
        <v>276.44</v>
      </c>
      <c r="E435" s="2">
        <v>1460.54</v>
      </c>
      <c r="F435" s="2">
        <v>165.83</v>
      </c>
      <c r="G435" s="8">
        <f t="shared" si="24"/>
        <v>307.8270521861777</v>
      </c>
    </row>
    <row r="436" spans="1:14" x14ac:dyDescent="0.25">
      <c r="C436" s="1" t="s">
        <v>11</v>
      </c>
      <c r="D436" s="2">
        <v>119.17</v>
      </c>
      <c r="E436" s="2">
        <v>1460.54</v>
      </c>
      <c r="F436" s="2">
        <v>165.83</v>
      </c>
      <c r="G436" s="8">
        <f t="shared" si="24"/>
        <v>132.70058533145274</v>
      </c>
    </row>
    <row r="437" spans="1:14" x14ac:dyDescent="0.25">
      <c r="C437" s="1" t="s">
        <v>12</v>
      </c>
      <c r="D437" s="2">
        <v>433.74</v>
      </c>
      <c r="E437" s="2">
        <v>1460.54</v>
      </c>
      <c r="F437" s="2">
        <v>165.83</v>
      </c>
      <c r="G437" s="8">
        <f t="shared" si="24"/>
        <v>482.98692524682656</v>
      </c>
    </row>
    <row r="438" spans="1:14" x14ac:dyDescent="0.25">
      <c r="C438" s="1" t="s">
        <v>46</v>
      </c>
      <c r="D438" s="2">
        <v>2.25</v>
      </c>
      <c r="E438" s="2">
        <v>1460.54</v>
      </c>
      <c r="F438" s="2">
        <v>165.83</v>
      </c>
      <c r="G438" s="8">
        <f t="shared" si="24"/>
        <v>2.5054654442877293</v>
      </c>
    </row>
    <row r="440" spans="1:14" x14ac:dyDescent="0.25">
      <c r="B440" s="2" t="s">
        <v>17</v>
      </c>
      <c r="D440" s="2">
        <f>SUM(D432:D438)</f>
        <v>1460.5400000000002</v>
      </c>
      <c r="G440" s="8">
        <f>SUM(G432:G438)</f>
        <v>1626.37</v>
      </c>
      <c r="I440" s="3">
        <f>SUM(G432:G437)</f>
        <v>1623.8645345557122</v>
      </c>
      <c r="J440" s="3">
        <v>0</v>
      </c>
      <c r="K440" s="3">
        <f>SUM(G438)</f>
        <v>2.5054654442877293</v>
      </c>
      <c r="L440" s="3">
        <f>SUM(I440:K440)</f>
        <v>1626.37</v>
      </c>
    </row>
    <row r="442" spans="1:14" ht="13" x14ac:dyDescent="0.3">
      <c r="B442" s="7" t="s">
        <v>40</v>
      </c>
      <c r="C442" s="7" t="s">
        <v>39</v>
      </c>
      <c r="D442" s="7" t="s">
        <v>38</v>
      </c>
      <c r="E442" s="7" t="s">
        <v>37</v>
      </c>
      <c r="F442" s="7" t="s">
        <v>36</v>
      </c>
      <c r="G442" s="7" t="s">
        <v>35</v>
      </c>
      <c r="H442" s="4"/>
      <c r="I442" s="6"/>
      <c r="J442" s="6"/>
      <c r="K442" s="6"/>
      <c r="L442" s="6"/>
      <c r="M442" s="5"/>
      <c r="N442" s="5"/>
    </row>
    <row r="443" spans="1:14" x14ac:dyDescent="0.25">
      <c r="B443" s="2" t="s">
        <v>59</v>
      </c>
      <c r="C443" s="1" t="s">
        <v>7</v>
      </c>
      <c r="D443" s="2">
        <v>194.72</v>
      </c>
      <c r="E443" s="2">
        <v>1466.56</v>
      </c>
      <c r="F443" s="2">
        <v>162.51</v>
      </c>
      <c r="G443" s="8">
        <f t="shared" ref="G443:G448" si="25">D443+(F443*(D443/E443))</f>
        <v>216.29698778092953</v>
      </c>
    </row>
    <row r="444" spans="1:14" ht="13" x14ac:dyDescent="0.3">
      <c r="A444" s="4"/>
      <c r="B444" s="2">
        <v>32</v>
      </c>
      <c r="C444" s="1" t="s">
        <v>8</v>
      </c>
      <c r="D444" s="2">
        <v>117.67</v>
      </c>
      <c r="E444" s="2">
        <v>1466.56</v>
      </c>
      <c r="F444" s="2">
        <v>162.51</v>
      </c>
      <c r="G444" s="8">
        <f t="shared" si="25"/>
        <v>130.70905172648921</v>
      </c>
    </row>
    <row r="445" spans="1:14" x14ac:dyDescent="0.25">
      <c r="B445" s="2" t="s">
        <v>47</v>
      </c>
      <c r="C445" s="1" t="s">
        <v>9</v>
      </c>
      <c r="D445" s="2">
        <v>322.04000000000002</v>
      </c>
      <c r="E445" s="2">
        <v>1466.56</v>
      </c>
      <c r="F445" s="2">
        <v>162.51</v>
      </c>
      <c r="G445" s="8">
        <f t="shared" si="25"/>
        <v>357.7253592079424</v>
      </c>
    </row>
    <row r="446" spans="1:14" x14ac:dyDescent="0.25">
      <c r="C446" s="1" t="s">
        <v>10</v>
      </c>
      <c r="D446" s="2">
        <v>274.51</v>
      </c>
      <c r="E446" s="2">
        <v>1466.56</v>
      </c>
      <c r="F446" s="2">
        <v>162.51</v>
      </c>
      <c r="G446" s="8">
        <f t="shared" si="25"/>
        <v>304.92854414411954</v>
      </c>
    </row>
    <row r="447" spans="1:14" x14ac:dyDescent="0.25">
      <c r="C447" s="1" t="s">
        <v>11</v>
      </c>
      <c r="D447" s="2">
        <v>117.72</v>
      </c>
      <c r="E447" s="2">
        <v>1466.56</v>
      </c>
      <c r="F447" s="2">
        <v>162.51</v>
      </c>
      <c r="G447" s="8">
        <f t="shared" si="25"/>
        <v>130.76459224307223</v>
      </c>
    </row>
    <row r="448" spans="1:14" x14ac:dyDescent="0.25">
      <c r="C448" s="1" t="s">
        <v>12</v>
      </c>
      <c r="D448" s="2">
        <v>439.9</v>
      </c>
      <c r="E448" s="2">
        <v>1466.56</v>
      </c>
      <c r="F448" s="2">
        <v>162.51</v>
      </c>
      <c r="G448" s="8">
        <f t="shared" si="25"/>
        <v>488.64546489744708</v>
      </c>
    </row>
    <row r="450" spans="1:14" x14ac:dyDescent="0.25">
      <c r="B450" s="2" t="s">
        <v>17</v>
      </c>
      <c r="D450" s="2">
        <f>SUM(D443:D448)</f>
        <v>1466.56</v>
      </c>
      <c r="G450" s="8">
        <f>SUM(G443:G448)</f>
        <v>1629.07</v>
      </c>
      <c r="I450" s="3">
        <f>SUM(G443:G448)</f>
        <v>1629.07</v>
      </c>
      <c r="J450" s="3">
        <v>0</v>
      </c>
      <c r="K450" s="3">
        <v>0</v>
      </c>
      <c r="L450" s="3">
        <f>SUM(I450:K450)</f>
        <v>1629.07</v>
      </c>
    </row>
    <row r="452" spans="1:14" ht="13" x14ac:dyDescent="0.3">
      <c r="B452" s="7" t="s">
        <v>40</v>
      </c>
      <c r="C452" s="7" t="s">
        <v>39</v>
      </c>
      <c r="D452" s="7" t="s">
        <v>38</v>
      </c>
      <c r="E452" s="7" t="s">
        <v>37</v>
      </c>
      <c r="F452" s="7" t="s">
        <v>36</v>
      </c>
      <c r="G452" s="7" t="s">
        <v>35</v>
      </c>
      <c r="H452" s="4"/>
      <c r="I452" s="6"/>
      <c r="J452" s="6"/>
      <c r="K452" s="6"/>
      <c r="L452" s="6"/>
      <c r="M452" s="5"/>
      <c r="N452" s="5"/>
    </row>
    <row r="453" spans="1:14" x14ac:dyDescent="0.25">
      <c r="B453" s="2" t="s">
        <v>58</v>
      </c>
      <c r="C453" s="1" t="s">
        <v>7</v>
      </c>
      <c r="D453" s="2">
        <v>194.72</v>
      </c>
      <c r="E453" s="2">
        <v>1466.56</v>
      </c>
      <c r="F453" s="2">
        <v>161.99</v>
      </c>
      <c r="G453" s="8">
        <f t="shared" ref="G453:G458" si="26">D453+(F453*(D453/E453))</f>
        <v>216.2279456687759</v>
      </c>
    </row>
    <row r="454" spans="1:14" ht="13" x14ac:dyDescent="0.3">
      <c r="A454" s="4"/>
      <c r="B454" s="2">
        <v>33</v>
      </c>
      <c r="C454" s="1" t="s">
        <v>8</v>
      </c>
      <c r="D454" s="2">
        <v>117.67</v>
      </c>
      <c r="E454" s="2">
        <v>1466.56</v>
      </c>
      <c r="F454" s="2">
        <v>161.99</v>
      </c>
      <c r="G454" s="8">
        <f t="shared" si="26"/>
        <v>130.66732932849663</v>
      </c>
    </row>
    <row r="455" spans="1:14" x14ac:dyDescent="0.25">
      <c r="B455" s="2" t="s">
        <v>47</v>
      </c>
      <c r="C455" s="1" t="s">
        <v>9</v>
      </c>
      <c r="D455" s="2">
        <v>322.04000000000002</v>
      </c>
      <c r="E455" s="2">
        <v>1466.56</v>
      </c>
      <c r="F455" s="2">
        <v>161.99</v>
      </c>
      <c r="G455" s="8">
        <f t="shared" si="26"/>
        <v>357.61117308531533</v>
      </c>
    </row>
    <row r="456" spans="1:14" x14ac:dyDescent="0.25">
      <c r="C456" s="1" t="s">
        <v>10</v>
      </c>
      <c r="D456" s="2">
        <v>274.51</v>
      </c>
      <c r="E456" s="2">
        <v>1466.56</v>
      </c>
      <c r="F456" s="2">
        <v>161.99</v>
      </c>
      <c r="G456" s="8">
        <f t="shared" si="26"/>
        <v>304.83121079260309</v>
      </c>
    </row>
    <row r="457" spans="1:14" x14ac:dyDescent="0.25">
      <c r="C457" s="1" t="s">
        <v>11</v>
      </c>
      <c r="D457" s="2">
        <v>117.72</v>
      </c>
      <c r="E457" s="2">
        <v>1466.56</v>
      </c>
      <c r="F457" s="2">
        <v>161.99</v>
      </c>
      <c r="G457" s="8">
        <f t="shared" si="26"/>
        <v>130.72285211651757</v>
      </c>
    </row>
    <row r="458" spans="1:14" x14ac:dyDescent="0.25">
      <c r="C458" s="1" t="s">
        <v>12</v>
      </c>
      <c r="D458" s="2">
        <v>439.9</v>
      </c>
      <c r="E458" s="2">
        <v>1466.56</v>
      </c>
      <c r="F458" s="2">
        <v>161.99</v>
      </c>
      <c r="G458" s="8">
        <f t="shared" si="26"/>
        <v>488.48948900829151</v>
      </c>
    </row>
    <row r="460" spans="1:14" x14ac:dyDescent="0.25">
      <c r="B460" s="2" t="s">
        <v>17</v>
      </c>
      <c r="D460" s="2">
        <f>SUM(D453:D458)</f>
        <v>1466.56</v>
      </c>
      <c r="G460" s="8">
        <f>SUM(G453:G458)</f>
        <v>1628.55</v>
      </c>
      <c r="I460" s="3">
        <f>SUM(G453:G458)</f>
        <v>1628.55</v>
      </c>
      <c r="J460" s="3">
        <v>0</v>
      </c>
      <c r="K460" s="3">
        <v>0</v>
      </c>
      <c r="L460" s="3">
        <f>SUM(I460:K460)</f>
        <v>1628.55</v>
      </c>
    </row>
    <row r="462" spans="1:14" ht="13" x14ac:dyDescent="0.3">
      <c r="B462" s="7" t="s">
        <v>40</v>
      </c>
      <c r="C462" s="7" t="s">
        <v>39</v>
      </c>
      <c r="D462" s="7" t="s">
        <v>38</v>
      </c>
      <c r="E462" s="7" t="s">
        <v>37</v>
      </c>
      <c r="F462" s="7" t="s">
        <v>36</v>
      </c>
      <c r="G462" s="7" t="s">
        <v>35</v>
      </c>
      <c r="H462" s="4"/>
      <c r="I462" s="6"/>
      <c r="J462" s="6"/>
      <c r="K462" s="6"/>
      <c r="L462" s="6"/>
      <c r="M462" s="5"/>
      <c r="N462" s="5"/>
    </row>
    <row r="463" spans="1:14" x14ac:dyDescent="0.25">
      <c r="B463" s="2" t="s">
        <v>57</v>
      </c>
      <c r="C463" s="1" t="s">
        <v>7</v>
      </c>
      <c r="D463" s="2">
        <v>194.72</v>
      </c>
      <c r="E463" s="2">
        <v>1460.05</v>
      </c>
      <c r="F463" s="2">
        <v>163.72</v>
      </c>
      <c r="G463" s="8">
        <f t="shared" ref="G463:G469" si="27">D463+(F463*(D463/E463))</f>
        <v>216.55456621348583</v>
      </c>
    </row>
    <row r="464" spans="1:14" ht="13" x14ac:dyDescent="0.3">
      <c r="A464" s="4"/>
      <c r="B464" s="2">
        <v>35</v>
      </c>
      <c r="C464" s="1" t="s">
        <v>8</v>
      </c>
      <c r="D464" s="2">
        <v>117.67</v>
      </c>
      <c r="E464" s="2">
        <v>1460.05</v>
      </c>
      <c r="F464" s="2">
        <v>163.72</v>
      </c>
      <c r="G464" s="8">
        <f t="shared" si="27"/>
        <v>130.86470730454437</v>
      </c>
    </row>
    <row r="465" spans="1:14" x14ac:dyDescent="0.25">
      <c r="B465" s="2" t="s">
        <v>47</v>
      </c>
      <c r="C465" s="1" t="s">
        <v>9</v>
      </c>
      <c r="D465" s="2">
        <v>322.04000000000002</v>
      </c>
      <c r="E465" s="2">
        <v>1460.05</v>
      </c>
      <c r="F465" s="2">
        <v>163.72</v>
      </c>
      <c r="G465" s="8">
        <f t="shared" si="27"/>
        <v>358.15135837813773</v>
      </c>
    </row>
    <row r="466" spans="1:14" x14ac:dyDescent="0.25">
      <c r="C466" s="1" t="s">
        <v>10</v>
      </c>
      <c r="D466" s="2">
        <v>274.51</v>
      </c>
      <c r="E466" s="2">
        <v>1460.05</v>
      </c>
      <c r="F466" s="2">
        <v>163.72</v>
      </c>
      <c r="G466" s="8">
        <f t="shared" si="27"/>
        <v>305.29166994281019</v>
      </c>
    </row>
    <row r="467" spans="1:14" x14ac:dyDescent="0.25">
      <c r="C467" s="1" t="s">
        <v>11</v>
      </c>
      <c r="D467" s="2">
        <v>117.72</v>
      </c>
      <c r="E467" s="2">
        <v>1460.05</v>
      </c>
      <c r="F467" s="2">
        <v>163.72</v>
      </c>
      <c r="G467" s="8">
        <f t="shared" si="27"/>
        <v>130.92031396185061</v>
      </c>
    </row>
    <row r="468" spans="1:14" x14ac:dyDescent="0.25">
      <c r="C468" s="1" t="s">
        <v>12</v>
      </c>
      <c r="D468" s="2">
        <v>431.14</v>
      </c>
      <c r="E468" s="2">
        <v>1460.05</v>
      </c>
      <c r="F468" s="2">
        <v>163.72</v>
      </c>
      <c r="G468" s="8">
        <f t="shared" si="27"/>
        <v>479.48508462038967</v>
      </c>
    </row>
    <row r="469" spans="1:14" x14ac:dyDescent="0.25">
      <c r="C469" s="1" t="s">
        <v>46</v>
      </c>
      <c r="D469" s="2">
        <v>2.25</v>
      </c>
      <c r="E469" s="2">
        <v>1460.05</v>
      </c>
      <c r="F469" s="2">
        <v>163.72</v>
      </c>
      <c r="G469" s="8">
        <f t="shared" si="27"/>
        <v>2.5022995787815487</v>
      </c>
    </row>
    <row r="471" spans="1:14" x14ac:dyDescent="0.25">
      <c r="B471" s="2" t="s">
        <v>17</v>
      </c>
      <c r="D471" s="2">
        <f>SUM(D463:D469)</f>
        <v>1460.0500000000002</v>
      </c>
      <c r="G471" s="8">
        <f>SUM(G463:G469)</f>
        <v>1623.7699999999998</v>
      </c>
      <c r="I471" s="3">
        <f>SUM(G463:G468)</f>
        <v>1621.2677004212183</v>
      </c>
      <c r="J471" s="3">
        <v>0</v>
      </c>
      <c r="K471" s="3">
        <f>SUM(G469)</f>
        <v>2.5022995787815487</v>
      </c>
      <c r="L471" s="3">
        <f>SUM(I471:K471)</f>
        <v>1623.7699999999998</v>
      </c>
    </row>
    <row r="473" spans="1:14" ht="13" x14ac:dyDescent="0.3">
      <c r="B473" s="7" t="s">
        <v>40</v>
      </c>
      <c r="C473" s="7" t="s">
        <v>39</v>
      </c>
      <c r="D473" s="7" t="s">
        <v>38</v>
      </c>
      <c r="E473" s="7" t="s">
        <v>37</v>
      </c>
      <c r="F473" s="7" t="s">
        <v>36</v>
      </c>
      <c r="G473" s="7" t="s">
        <v>35</v>
      </c>
      <c r="H473" s="4"/>
      <c r="I473" s="6"/>
      <c r="J473" s="6"/>
      <c r="K473" s="6"/>
      <c r="L473" s="6"/>
      <c r="M473" s="5"/>
      <c r="N473" s="5"/>
    </row>
    <row r="474" spans="1:14" x14ac:dyDescent="0.25">
      <c r="B474" s="2" t="s">
        <v>56</v>
      </c>
      <c r="C474" s="1" t="s">
        <v>7</v>
      </c>
      <c r="D474" s="2">
        <v>194.72</v>
      </c>
      <c r="E474" s="2">
        <v>1466.56</v>
      </c>
      <c r="F474" s="2">
        <v>162.22999999999999</v>
      </c>
      <c r="G474" s="8">
        <f t="shared" ref="G474:G479" si="28">D474+(F474*(D474/E474))</f>
        <v>216.25981125900066</v>
      </c>
    </row>
    <row r="475" spans="1:14" ht="13" x14ac:dyDescent="0.3">
      <c r="A475" s="4"/>
      <c r="B475" s="2">
        <v>36</v>
      </c>
      <c r="C475" s="1" t="s">
        <v>8</v>
      </c>
      <c r="D475" s="2">
        <v>117.67</v>
      </c>
      <c r="E475" s="2">
        <v>1466.56</v>
      </c>
      <c r="F475" s="2">
        <v>162.22999999999999</v>
      </c>
      <c r="G475" s="8">
        <f t="shared" si="28"/>
        <v>130.68658581987782</v>
      </c>
    </row>
    <row r="476" spans="1:14" x14ac:dyDescent="0.25">
      <c r="B476" s="2" t="s">
        <v>47</v>
      </c>
      <c r="C476" s="1" t="s">
        <v>9</v>
      </c>
      <c r="D476" s="2">
        <v>322.04000000000002</v>
      </c>
      <c r="E476" s="2">
        <v>1466.56</v>
      </c>
      <c r="F476" s="2">
        <v>162.22999999999999</v>
      </c>
      <c r="G476" s="8">
        <f t="shared" si="28"/>
        <v>357.66387437268168</v>
      </c>
    </row>
    <row r="477" spans="1:14" x14ac:dyDescent="0.25">
      <c r="C477" s="1" t="s">
        <v>10</v>
      </c>
      <c r="D477" s="2">
        <v>274.51</v>
      </c>
      <c r="E477" s="2">
        <v>1466.56</v>
      </c>
      <c r="F477" s="2">
        <v>162.22999999999999</v>
      </c>
      <c r="G477" s="8">
        <f t="shared" si="28"/>
        <v>304.87613387791839</v>
      </c>
    </row>
    <row r="478" spans="1:14" x14ac:dyDescent="0.25">
      <c r="C478" s="1" t="s">
        <v>11</v>
      </c>
      <c r="D478" s="2">
        <v>117.72</v>
      </c>
      <c r="E478" s="2">
        <v>1466.56</v>
      </c>
      <c r="F478" s="2">
        <v>162.22999999999999</v>
      </c>
      <c r="G478" s="8">
        <f t="shared" si="28"/>
        <v>130.74211679031202</v>
      </c>
    </row>
    <row r="479" spans="1:14" x14ac:dyDescent="0.25">
      <c r="C479" s="1" t="s">
        <v>12</v>
      </c>
      <c r="D479" s="2">
        <v>439.9</v>
      </c>
      <c r="E479" s="2">
        <v>1466.56</v>
      </c>
      <c r="F479" s="2">
        <v>162.22999999999999</v>
      </c>
      <c r="G479" s="8">
        <f t="shared" si="28"/>
        <v>488.56147788020945</v>
      </c>
    </row>
    <row r="481" spans="1:14" x14ac:dyDescent="0.25">
      <c r="B481" s="2" t="s">
        <v>17</v>
      </c>
      <c r="D481" s="2">
        <f>SUM(D474:D479)</f>
        <v>1466.56</v>
      </c>
      <c r="G481" s="8">
        <f>SUM(G474:G479)</f>
        <v>1628.79</v>
      </c>
      <c r="I481" s="3">
        <f>SUM(G474:G479)</f>
        <v>1628.79</v>
      </c>
      <c r="J481" s="3">
        <v>0</v>
      </c>
      <c r="K481" s="3">
        <v>0</v>
      </c>
      <c r="L481" s="3">
        <f>SUM(I481:K481)</f>
        <v>1628.79</v>
      </c>
    </row>
    <row r="483" spans="1:14" ht="13" x14ac:dyDescent="0.3">
      <c r="B483" s="7" t="s">
        <v>40</v>
      </c>
      <c r="C483" s="7" t="s">
        <v>39</v>
      </c>
      <c r="D483" s="7" t="s">
        <v>38</v>
      </c>
      <c r="E483" s="7" t="s">
        <v>37</v>
      </c>
      <c r="F483" s="7" t="s">
        <v>36</v>
      </c>
      <c r="G483" s="7" t="s">
        <v>35</v>
      </c>
      <c r="H483" s="4"/>
      <c r="I483" s="6"/>
      <c r="J483" s="6"/>
      <c r="K483" s="6"/>
      <c r="L483" s="6"/>
      <c r="M483" s="5"/>
      <c r="N483" s="5"/>
    </row>
    <row r="484" spans="1:14" x14ac:dyDescent="0.25">
      <c r="B484" s="2" t="s">
        <v>55</v>
      </c>
      <c r="C484" s="1" t="s">
        <v>7</v>
      </c>
      <c r="D484" s="2">
        <v>194.72</v>
      </c>
      <c r="E484" s="2">
        <v>1466.56</v>
      </c>
      <c r="F484" s="2">
        <v>162.22999999999999</v>
      </c>
      <c r="G484" s="8">
        <f t="shared" ref="G484:G489" si="29">D484+(F484*(D484/E484))</f>
        <v>216.25981125900066</v>
      </c>
    </row>
    <row r="485" spans="1:14" ht="13" x14ac:dyDescent="0.3">
      <c r="A485" s="4"/>
      <c r="B485" s="2">
        <v>37</v>
      </c>
      <c r="C485" s="1" t="s">
        <v>8</v>
      </c>
      <c r="D485" s="2">
        <v>117.67</v>
      </c>
      <c r="E485" s="2">
        <v>1466.56</v>
      </c>
      <c r="F485" s="2">
        <v>162.22999999999999</v>
      </c>
      <c r="G485" s="8">
        <f t="shared" si="29"/>
        <v>130.68658581987782</v>
      </c>
    </row>
    <row r="486" spans="1:14" x14ac:dyDescent="0.25">
      <c r="B486" s="2" t="s">
        <v>47</v>
      </c>
      <c r="C486" s="1" t="s">
        <v>9</v>
      </c>
      <c r="D486" s="2">
        <v>322.04000000000002</v>
      </c>
      <c r="E486" s="2">
        <v>1466.56</v>
      </c>
      <c r="F486" s="2">
        <v>162.22999999999999</v>
      </c>
      <c r="G486" s="8">
        <f t="shared" si="29"/>
        <v>357.66387437268168</v>
      </c>
    </row>
    <row r="487" spans="1:14" x14ac:dyDescent="0.25">
      <c r="C487" s="1" t="s">
        <v>10</v>
      </c>
      <c r="D487" s="2">
        <v>274.51</v>
      </c>
      <c r="E487" s="2">
        <v>1466.56</v>
      </c>
      <c r="F487" s="2">
        <v>162.22999999999999</v>
      </c>
      <c r="G487" s="8">
        <f t="shared" si="29"/>
        <v>304.87613387791839</v>
      </c>
    </row>
    <row r="488" spans="1:14" x14ac:dyDescent="0.25">
      <c r="C488" s="1" t="s">
        <v>11</v>
      </c>
      <c r="D488" s="2">
        <v>117.72</v>
      </c>
      <c r="E488" s="2">
        <v>1466.56</v>
      </c>
      <c r="F488" s="2">
        <v>162.22999999999999</v>
      </c>
      <c r="G488" s="8">
        <f t="shared" si="29"/>
        <v>130.74211679031202</v>
      </c>
    </row>
    <row r="489" spans="1:14" x14ac:dyDescent="0.25">
      <c r="C489" s="1" t="s">
        <v>12</v>
      </c>
      <c r="D489" s="2">
        <v>439.9</v>
      </c>
      <c r="E489" s="2">
        <v>1466.56</v>
      </c>
      <c r="F489" s="2">
        <v>162.22999999999999</v>
      </c>
      <c r="G489" s="8">
        <f t="shared" si="29"/>
        <v>488.56147788020945</v>
      </c>
    </row>
    <row r="491" spans="1:14" x14ac:dyDescent="0.25">
      <c r="B491" s="2" t="s">
        <v>17</v>
      </c>
      <c r="D491" s="2">
        <f>SUM(D484:D489)</f>
        <v>1466.56</v>
      </c>
      <c r="G491" s="8">
        <f>SUM(G484:G489)</f>
        <v>1628.79</v>
      </c>
      <c r="I491" s="3">
        <f>SUM(G484:G489)</f>
        <v>1628.79</v>
      </c>
      <c r="J491" s="3">
        <v>0</v>
      </c>
      <c r="K491" s="3">
        <v>0</v>
      </c>
      <c r="L491" s="3">
        <f>SUM(I491:K491)</f>
        <v>1628.79</v>
      </c>
    </row>
    <row r="493" spans="1:14" ht="13" x14ac:dyDescent="0.3">
      <c r="B493" s="7" t="s">
        <v>40</v>
      </c>
      <c r="C493" s="7" t="s">
        <v>39</v>
      </c>
      <c r="D493" s="7" t="s">
        <v>38</v>
      </c>
      <c r="E493" s="7" t="s">
        <v>37</v>
      </c>
      <c r="F493" s="7" t="s">
        <v>36</v>
      </c>
      <c r="G493" s="7" t="s">
        <v>35</v>
      </c>
      <c r="H493" s="4"/>
      <c r="I493" s="6"/>
      <c r="J493" s="6"/>
      <c r="K493" s="6"/>
      <c r="L493" s="6"/>
      <c r="M493" s="5"/>
      <c r="N493" s="5"/>
    </row>
    <row r="494" spans="1:14" x14ac:dyDescent="0.25">
      <c r="B494" s="2" t="s">
        <v>54</v>
      </c>
      <c r="C494" s="1" t="s">
        <v>7</v>
      </c>
      <c r="D494" s="2">
        <v>194.72</v>
      </c>
      <c r="E494" s="2">
        <v>1460.05</v>
      </c>
      <c r="F494" s="2">
        <v>163.13999999999999</v>
      </c>
      <c r="G494" s="8">
        <f t="shared" ref="G494:G500" si="30">D494+(F494*(D494/E494))</f>
        <v>216.47721434197459</v>
      </c>
    </row>
    <row r="495" spans="1:14" ht="13" x14ac:dyDescent="0.3">
      <c r="A495" s="4"/>
      <c r="B495" s="2">
        <v>38</v>
      </c>
      <c r="C495" s="1" t="s">
        <v>8</v>
      </c>
      <c r="D495" s="2">
        <v>117.67</v>
      </c>
      <c r="E495" s="2">
        <v>1460.05</v>
      </c>
      <c r="F495" s="2">
        <v>163.13999999999999</v>
      </c>
      <c r="G495" s="8">
        <f t="shared" si="30"/>
        <v>130.81796328892847</v>
      </c>
    </row>
    <row r="496" spans="1:14" x14ac:dyDescent="0.25">
      <c r="B496" s="2" t="s">
        <v>47</v>
      </c>
      <c r="C496" s="1" t="s">
        <v>9</v>
      </c>
      <c r="D496" s="2">
        <v>322.04000000000002</v>
      </c>
      <c r="E496" s="2">
        <v>1460.05</v>
      </c>
      <c r="F496" s="2">
        <v>163.13999999999999</v>
      </c>
      <c r="G496" s="8">
        <f t="shared" si="30"/>
        <v>358.02342906064865</v>
      </c>
    </row>
    <row r="497" spans="1:14" x14ac:dyDescent="0.25">
      <c r="C497" s="1" t="s">
        <v>10</v>
      </c>
      <c r="D497" s="2">
        <v>274.51</v>
      </c>
      <c r="E497" s="2">
        <v>1460.05</v>
      </c>
      <c r="F497" s="2">
        <v>163.13999999999999</v>
      </c>
      <c r="G497" s="8">
        <f t="shared" si="30"/>
        <v>305.18262175952879</v>
      </c>
    </row>
    <row r="498" spans="1:14" x14ac:dyDescent="0.25">
      <c r="C498" s="1" t="s">
        <v>11</v>
      </c>
      <c r="D498" s="2">
        <v>117.72</v>
      </c>
      <c r="E498" s="2">
        <v>1460.05</v>
      </c>
      <c r="F498" s="2">
        <v>163.13999999999999</v>
      </c>
      <c r="G498" s="8">
        <f t="shared" si="30"/>
        <v>130.87355008390122</v>
      </c>
    </row>
    <row r="499" spans="1:14" x14ac:dyDescent="0.25">
      <c r="C499" s="1" t="s">
        <v>12</v>
      </c>
      <c r="D499" s="2">
        <v>431.14</v>
      </c>
      <c r="E499" s="2">
        <v>1460.05</v>
      </c>
      <c r="F499" s="2">
        <v>163.13999999999999</v>
      </c>
      <c r="G499" s="8">
        <f t="shared" si="30"/>
        <v>479.31381569124346</v>
      </c>
    </row>
    <row r="500" spans="1:14" x14ac:dyDescent="0.25">
      <c r="C500" s="1" t="s">
        <v>46</v>
      </c>
      <c r="D500" s="2">
        <v>2.25</v>
      </c>
      <c r="E500" s="2">
        <v>1460.05</v>
      </c>
      <c r="F500" s="2">
        <v>163.13999999999999</v>
      </c>
      <c r="G500" s="8">
        <f t="shared" si="30"/>
        <v>2.5014057737748709</v>
      </c>
    </row>
    <row r="502" spans="1:14" x14ac:dyDescent="0.25">
      <c r="B502" s="2" t="s">
        <v>17</v>
      </c>
      <c r="D502" s="2">
        <f>SUM(D494:D500)</f>
        <v>1460.0500000000002</v>
      </c>
      <c r="G502" s="8">
        <f>SUM(G494:G500)</f>
        <v>1623.1899999999998</v>
      </c>
      <c r="I502" s="3">
        <f>SUM(G494:G499)</f>
        <v>1620.688594226225</v>
      </c>
      <c r="J502" s="3">
        <v>0</v>
      </c>
      <c r="K502" s="3">
        <f>G500</f>
        <v>2.5014057737748709</v>
      </c>
      <c r="L502" s="3">
        <f>SUM(I502:K502)</f>
        <v>1623.1899999999998</v>
      </c>
    </row>
    <row r="504" spans="1:14" ht="13" x14ac:dyDescent="0.3">
      <c r="B504" s="7" t="s">
        <v>40</v>
      </c>
      <c r="C504" s="7" t="s">
        <v>39</v>
      </c>
      <c r="D504" s="7" t="s">
        <v>38</v>
      </c>
      <c r="E504" s="7" t="s">
        <v>37</v>
      </c>
      <c r="F504" s="7" t="s">
        <v>36</v>
      </c>
      <c r="G504" s="7" t="s">
        <v>35</v>
      </c>
      <c r="H504" s="4"/>
      <c r="I504" s="6"/>
      <c r="J504" s="6"/>
      <c r="K504" s="6"/>
      <c r="L504" s="6"/>
      <c r="M504" s="5"/>
      <c r="N504" s="5"/>
    </row>
    <row r="505" spans="1:14" x14ac:dyDescent="0.25">
      <c r="B505" s="2" t="s">
        <v>53</v>
      </c>
      <c r="C505" s="1" t="s">
        <v>7</v>
      </c>
      <c r="D505" s="2">
        <v>194.95</v>
      </c>
      <c r="E505" s="2">
        <v>1468.5</v>
      </c>
      <c r="F505" s="2">
        <v>161.82</v>
      </c>
      <c r="G505" s="8">
        <f t="shared" ref="G505:G510" si="31">D505+(F505*(D505/E505))</f>
        <v>216.43233503575075</v>
      </c>
    </row>
    <row r="506" spans="1:14" ht="13" x14ac:dyDescent="0.3">
      <c r="A506" s="4"/>
      <c r="B506" s="2">
        <v>39</v>
      </c>
      <c r="C506" s="1" t="s">
        <v>8</v>
      </c>
      <c r="D506" s="2">
        <v>118.27</v>
      </c>
      <c r="E506" s="2">
        <v>1468.5</v>
      </c>
      <c r="F506" s="2">
        <v>161.82</v>
      </c>
      <c r="G506" s="8">
        <f t="shared" si="31"/>
        <v>131.30265331971398</v>
      </c>
    </row>
    <row r="507" spans="1:14" x14ac:dyDescent="0.25">
      <c r="B507" s="2" t="s">
        <v>47</v>
      </c>
      <c r="C507" s="1" t="s">
        <v>9</v>
      </c>
      <c r="D507" s="2">
        <v>322.82</v>
      </c>
      <c r="E507" s="2">
        <v>1468.5</v>
      </c>
      <c r="F507" s="2">
        <v>161.82</v>
      </c>
      <c r="G507" s="8">
        <f t="shared" si="31"/>
        <v>358.39285148110315</v>
      </c>
    </row>
    <row r="508" spans="1:14" x14ac:dyDescent="0.25">
      <c r="C508" s="1" t="s">
        <v>10</v>
      </c>
      <c r="D508" s="2">
        <v>275.31</v>
      </c>
      <c r="E508" s="2">
        <v>1468.5</v>
      </c>
      <c r="F508" s="2">
        <v>161.82</v>
      </c>
      <c r="G508" s="8">
        <f t="shared" si="31"/>
        <v>305.64753094994893</v>
      </c>
    </row>
    <row r="509" spans="1:14" x14ac:dyDescent="0.25">
      <c r="C509" s="1" t="s">
        <v>11</v>
      </c>
      <c r="D509" s="2">
        <v>118.33</v>
      </c>
      <c r="E509" s="2">
        <v>1468.5</v>
      </c>
      <c r="F509" s="2">
        <v>161.82</v>
      </c>
      <c r="G509" s="8">
        <f t="shared" si="31"/>
        <v>131.36926496424923</v>
      </c>
    </row>
    <row r="510" spans="1:14" x14ac:dyDescent="0.25">
      <c r="C510" s="1" t="s">
        <v>12</v>
      </c>
      <c r="D510" s="2">
        <v>438.82</v>
      </c>
      <c r="E510" s="2">
        <v>1468.5</v>
      </c>
      <c r="F510" s="2">
        <v>161.82</v>
      </c>
      <c r="G510" s="8">
        <f t="shared" si="31"/>
        <v>487.17536424923389</v>
      </c>
    </row>
    <row r="512" spans="1:14" x14ac:dyDescent="0.25">
      <c r="B512" s="2" t="s">
        <v>17</v>
      </c>
      <c r="D512" s="2">
        <f>SUM(D505:D510)</f>
        <v>1468.4999999999998</v>
      </c>
      <c r="G512" s="8">
        <f>SUM(G505:G510)</f>
        <v>1630.3199999999997</v>
      </c>
      <c r="I512" s="3">
        <f>SUM(G505:G510)</f>
        <v>1630.3199999999997</v>
      </c>
      <c r="J512" s="3">
        <v>0</v>
      </c>
      <c r="K512" s="3">
        <v>0</v>
      </c>
      <c r="L512" s="3">
        <f>SUM(I512:K512)</f>
        <v>1630.3199999999997</v>
      </c>
    </row>
    <row r="514" spans="1:14" ht="13" x14ac:dyDescent="0.3">
      <c r="B514" s="7" t="s">
        <v>40</v>
      </c>
      <c r="C514" s="7" t="s">
        <v>39</v>
      </c>
      <c r="D514" s="7" t="s">
        <v>38</v>
      </c>
      <c r="E514" s="7" t="s">
        <v>37</v>
      </c>
      <c r="F514" s="7" t="s">
        <v>36</v>
      </c>
      <c r="G514" s="7" t="s">
        <v>35</v>
      </c>
      <c r="H514" s="4"/>
      <c r="I514" s="6"/>
      <c r="J514" s="6"/>
      <c r="K514" s="6"/>
      <c r="L514" s="6"/>
      <c r="M514" s="5"/>
      <c r="N514" s="5"/>
    </row>
    <row r="515" spans="1:14" x14ac:dyDescent="0.25">
      <c r="B515" s="2" t="s">
        <v>52</v>
      </c>
      <c r="C515" s="1" t="s">
        <v>7</v>
      </c>
      <c r="D515" s="2">
        <v>194.99</v>
      </c>
      <c r="E515" s="2">
        <v>1468.38</v>
      </c>
      <c r="F515" s="2">
        <v>160.91999999999999</v>
      </c>
      <c r="G515" s="8">
        <f t="shared" ref="G515:G520" si="32">D515+(F515*(D515/E515))</f>
        <v>216.3589854124954</v>
      </c>
    </row>
    <row r="516" spans="1:14" ht="13" x14ac:dyDescent="0.3">
      <c r="A516" s="4"/>
      <c r="B516" s="2">
        <v>50</v>
      </c>
      <c r="C516" s="1" t="s">
        <v>8</v>
      </c>
      <c r="D516" s="2">
        <v>118.29</v>
      </c>
      <c r="E516" s="2">
        <v>1468.38</v>
      </c>
      <c r="F516" s="2">
        <v>160.91999999999999</v>
      </c>
      <c r="G516" s="8">
        <f t="shared" si="32"/>
        <v>131.25342009561558</v>
      </c>
    </row>
    <row r="517" spans="1:14" x14ac:dyDescent="0.25">
      <c r="B517" s="2" t="s">
        <v>47</v>
      </c>
      <c r="C517" s="1" t="s">
        <v>9</v>
      </c>
      <c r="D517" s="2">
        <v>322.82</v>
      </c>
      <c r="E517" s="2">
        <v>1468.38</v>
      </c>
      <c r="F517" s="2">
        <v>160.91999999999999</v>
      </c>
      <c r="G517" s="8">
        <f t="shared" si="32"/>
        <v>358.19789564009318</v>
      </c>
    </row>
    <row r="518" spans="1:14" x14ac:dyDescent="0.25">
      <c r="C518" s="1" t="s">
        <v>10</v>
      </c>
      <c r="D518" s="2">
        <v>275.31</v>
      </c>
      <c r="E518" s="2">
        <v>1468.38</v>
      </c>
      <c r="F518" s="2">
        <v>160.91999999999999</v>
      </c>
      <c r="G518" s="8">
        <f t="shared" si="32"/>
        <v>305.48126711069341</v>
      </c>
    </row>
    <row r="519" spans="1:14" x14ac:dyDescent="0.25">
      <c r="C519" s="1" t="s">
        <v>11</v>
      </c>
      <c r="D519" s="2">
        <v>118.33</v>
      </c>
      <c r="E519" s="2">
        <v>1468.38</v>
      </c>
      <c r="F519" s="2">
        <v>160.91999999999999</v>
      </c>
      <c r="G519" s="8">
        <f t="shared" si="32"/>
        <v>131.29780370203898</v>
      </c>
    </row>
    <row r="520" spans="1:14" x14ac:dyDescent="0.25">
      <c r="C520" s="1" t="s">
        <v>12</v>
      </c>
      <c r="D520" s="2">
        <v>438.64</v>
      </c>
      <c r="E520" s="2">
        <v>1468.38</v>
      </c>
      <c r="F520" s="2">
        <v>160.91999999999999</v>
      </c>
      <c r="G520" s="8">
        <f t="shared" si="32"/>
        <v>486.71062803906341</v>
      </c>
    </row>
    <row r="522" spans="1:14" x14ac:dyDescent="0.25">
      <c r="B522" s="2" t="s">
        <v>17</v>
      </c>
      <c r="D522" s="2">
        <f>SUM(D515:D520)</f>
        <v>1468.38</v>
      </c>
      <c r="G522" s="8">
        <f>SUM(G515:G520)</f>
        <v>1629.2999999999997</v>
      </c>
      <c r="I522" s="3">
        <f>SUM(G515:G520)</f>
        <v>1629.2999999999997</v>
      </c>
      <c r="J522" s="3">
        <v>0</v>
      </c>
      <c r="K522" s="3">
        <v>0</v>
      </c>
      <c r="L522" s="3">
        <f>SUM(I522:K522)</f>
        <v>1629.2999999999997</v>
      </c>
    </row>
    <row r="524" spans="1:14" ht="13" x14ac:dyDescent="0.3">
      <c r="B524" s="7" t="s">
        <v>40</v>
      </c>
      <c r="C524" s="7" t="s">
        <v>39</v>
      </c>
      <c r="D524" s="7" t="s">
        <v>38</v>
      </c>
      <c r="E524" s="7" t="s">
        <v>37</v>
      </c>
      <c r="F524" s="7" t="s">
        <v>36</v>
      </c>
      <c r="G524" s="7" t="s">
        <v>35</v>
      </c>
      <c r="H524" s="4"/>
      <c r="I524" s="6"/>
      <c r="J524" s="6"/>
      <c r="K524" s="6"/>
      <c r="L524" s="6"/>
      <c r="M524" s="5"/>
      <c r="N524" s="5"/>
    </row>
    <row r="525" spans="1:14" x14ac:dyDescent="0.25">
      <c r="B525" s="2" t="s">
        <v>51</v>
      </c>
      <c r="C525" s="1" t="s">
        <v>7</v>
      </c>
      <c r="D525" s="2">
        <v>194.99</v>
      </c>
      <c r="E525" s="2">
        <f>D533</f>
        <v>1467.02</v>
      </c>
      <c r="F525" s="2">
        <v>165.4</v>
      </c>
      <c r="G525" s="8">
        <f t="shared" ref="G525:G531" si="33">D525+(F525*(D525/E525))</f>
        <v>216.97425788332811</v>
      </c>
    </row>
    <row r="526" spans="1:14" ht="13" x14ac:dyDescent="0.3">
      <c r="A526" s="4"/>
      <c r="B526" s="2">
        <v>51</v>
      </c>
      <c r="C526" s="1" t="s">
        <v>8</v>
      </c>
      <c r="D526" s="2">
        <v>118.29</v>
      </c>
      <c r="E526" s="2">
        <v>1467.02</v>
      </c>
      <c r="F526" s="2">
        <v>165.4</v>
      </c>
      <c r="G526" s="8">
        <f t="shared" si="33"/>
        <v>131.62667298332676</v>
      </c>
    </row>
    <row r="527" spans="1:14" x14ac:dyDescent="0.25">
      <c r="B527" s="2" t="s">
        <v>47</v>
      </c>
      <c r="C527" s="1" t="s">
        <v>9</v>
      </c>
      <c r="D527" s="2">
        <v>322.82</v>
      </c>
      <c r="E527" s="2">
        <v>1467.02</v>
      </c>
      <c r="F527" s="2">
        <v>165.4</v>
      </c>
      <c r="G527" s="8">
        <f t="shared" si="33"/>
        <v>359.21652356477756</v>
      </c>
    </row>
    <row r="528" spans="1:14" x14ac:dyDescent="0.25">
      <c r="C528" s="1" t="s">
        <v>10</v>
      </c>
      <c r="D528" s="2">
        <v>275.31</v>
      </c>
      <c r="E528" s="2">
        <v>1467.02</v>
      </c>
      <c r="F528" s="2">
        <v>165.4</v>
      </c>
      <c r="G528" s="8">
        <f t="shared" si="33"/>
        <v>306.34998173167372</v>
      </c>
    </row>
    <row r="529" spans="1:14" x14ac:dyDescent="0.25">
      <c r="C529" s="1" t="s">
        <v>11</v>
      </c>
      <c r="D529" s="2">
        <v>118.33</v>
      </c>
      <c r="E529" s="2">
        <v>1467.02</v>
      </c>
      <c r="F529" s="2">
        <v>165.4</v>
      </c>
      <c r="G529" s="8">
        <f t="shared" si="33"/>
        <v>131.67118280596037</v>
      </c>
    </row>
    <row r="530" spans="1:14" x14ac:dyDescent="0.25">
      <c r="C530" s="1" t="s">
        <v>12</v>
      </c>
      <c r="D530" s="2">
        <v>435.04</v>
      </c>
      <c r="E530" s="2">
        <v>1467.02</v>
      </c>
      <c r="F530" s="2">
        <v>165.4</v>
      </c>
      <c r="G530" s="8">
        <f t="shared" si="33"/>
        <v>484.08883096344971</v>
      </c>
    </row>
    <row r="531" spans="1:14" x14ac:dyDescent="0.25">
      <c r="C531" s="1" t="s">
        <v>46</v>
      </c>
      <c r="D531" s="2">
        <v>2.2400000000000002</v>
      </c>
      <c r="E531" s="2">
        <v>1467.02</v>
      </c>
      <c r="F531" s="2">
        <v>165.4</v>
      </c>
      <c r="G531" s="8">
        <f t="shared" si="33"/>
        <v>2.4925500674837426</v>
      </c>
    </row>
    <row r="533" spans="1:14" x14ac:dyDescent="0.25">
      <c r="B533" s="2" t="s">
        <v>17</v>
      </c>
      <c r="D533" s="2">
        <f>SUM(D525:D531)</f>
        <v>1467.02</v>
      </c>
      <c r="G533" s="8">
        <f>SUM(G525:G531)</f>
        <v>1632.42</v>
      </c>
      <c r="I533" s="3">
        <f>SUM(G525:G530)</f>
        <v>1629.9274499325163</v>
      </c>
      <c r="J533" s="3">
        <v>0</v>
      </c>
      <c r="K533" s="3">
        <f>G531</f>
        <v>2.4925500674837426</v>
      </c>
      <c r="L533" s="3">
        <f>SUM(I533:K533)</f>
        <v>1632.42</v>
      </c>
    </row>
    <row r="535" spans="1:14" ht="13" x14ac:dyDescent="0.3">
      <c r="B535" s="7" t="s">
        <v>40</v>
      </c>
      <c r="C535" s="7" t="s">
        <v>39</v>
      </c>
      <c r="D535" s="7" t="s">
        <v>38</v>
      </c>
      <c r="E535" s="7" t="s">
        <v>37</v>
      </c>
      <c r="F535" s="7" t="s">
        <v>36</v>
      </c>
      <c r="G535" s="7" t="s">
        <v>35</v>
      </c>
      <c r="H535" s="4"/>
      <c r="I535" s="6"/>
      <c r="J535" s="6"/>
      <c r="K535" s="6"/>
      <c r="L535" s="6"/>
      <c r="M535" s="5"/>
      <c r="N535" s="5"/>
    </row>
    <row r="536" spans="1:14" x14ac:dyDescent="0.25">
      <c r="B536" s="2" t="s">
        <v>50</v>
      </c>
      <c r="C536" s="1" t="s">
        <v>7</v>
      </c>
      <c r="D536" s="2">
        <v>194.99</v>
      </c>
      <c r="E536" s="2">
        <f t="shared" ref="E536:E541" si="34">D$543</f>
        <v>1467.93</v>
      </c>
      <c r="F536" s="2">
        <v>161.32</v>
      </c>
      <c r="G536" s="8">
        <f t="shared" ref="G536:G541" si="35">D536+(F536*(D536/E536))</f>
        <v>216.41866948696463</v>
      </c>
    </row>
    <row r="537" spans="1:14" ht="13" x14ac:dyDescent="0.3">
      <c r="A537" s="4"/>
      <c r="B537" s="2">
        <v>52</v>
      </c>
      <c r="C537" s="1" t="s">
        <v>8</v>
      </c>
      <c r="D537" s="2">
        <v>118.29</v>
      </c>
      <c r="E537" s="2">
        <f t="shared" si="34"/>
        <v>1467.93</v>
      </c>
      <c r="F537" s="2">
        <v>161.32</v>
      </c>
      <c r="G537" s="8">
        <f t="shared" si="35"/>
        <v>131.28962723018128</v>
      </c>
    </row>
    <row r="538" spans="1:14" x14ac:dyDescent="0.25">
      <c r="B538" s="2" t="s">
        <v>47</v>
      </c>
      <c r="C538" s="1" t="s">
        <v>9</v>
      </c>
      <c r="D538" s="2">
        <v>322.82</v>
      </c>
      <c r="E538" s="2">
        <f t="shared" si="34"/>
        <v>1467.93</v>
      </c>
      <c r="F538" s="2">
        <v>161.32</v>
      </c>
      <c r="G538" s="8">
        <f t="shared" si="35"/>
        <v>358.29670692744202</v>
      </c>
    </row>
    <row r="539" spans="1:14" x14ac:dyDescent="0.25">
      <c r="C539" s="1" t="s">
        <v>10</v>
      </c>
      <c r="D539" s="2">
        <v>275.31</v>
      </c>
      <c r="E539" s="2">
        <f t="shared" si="34"/>
        <v>1467.93</v>
      </c>
      <c r="F539" s="2">
        <v>161.32</v>
      </c>
      <c r="G539" s="8">
        <f t="shared" si="35"/>
        <v>305.56553616316853</v>
      </c>
    </row>
    <row r="540" spans="1:14" x14ac:dyDescent="0.25">
      <c r="C540" s="1" t="s">
        <v>11</v>
      </c>
      <c r="D540" s="2">
        <v>118.33</v>
      </c>
      <c r="E540" s="2">
        <f t="shared" si="34"/>
        <v>1467.93</v>
      </c>
      <c r="F540" s="2">
        <v>161.32</v>
      </c>
      <c r="G540" s="8">
        <f t="shared" si="35"/>
        <v>131.33402308011961</v>
      </c>
    </row>
    <row r="541" spans="1:14" x14ac:dyDescent="0.25">
      <c r="C541" s="1" t="s">
        <v>12</v>
      </c>
      <c r="D541" s="2">
        <v>438.19</v>
      </c>
      <c r="E541" s="2">
        <f t="shared" si="34"/>
        <v>1467.93</v>
      </c>
      <c r="F541" s="2">
        <v>161.32</v>
      </c>
      <c r="G541" s="8">
        <f t="shared" si="35"/>
        <v>486.34543711212388</v>
      </c>
    </row>
    <row r="542" spans="1:14" x14ac:dyDescent="0.25">
      <c r="F542" s="2" t="s">
        <v>49</v>
      </c>
    </row>
    <row r="543" spans="1:14" x14ac:dyDescent="0.25">
      <c r="B543" s="2" t="s">
        <v>17</v>
      </c>
      <c r="D543" s="2">
        <f>SUM(D536:D541)</f>
        <v>1467.93</v>
      </c>
      <c r="G543" s="8">
        <f>SUM(G536:G541)</f>
        <v>1629.25</v>
      </c>
      <c r="I543" s="3">
        <f>SUM(G536:G541)</f>
        <v>1629.25</v>
      </c>
      <c r="J543" s="3">
        <v>0</v>
      </c>
      <c r="K543" s="3">
        <v>0</v>
      </c>
      <c r="L543" s="3">
        <f>SUM(I543:K543)</f>
        <v>1629.25</v>
      </c>
    </row>
    <row r="545" spans="1:14" ht="13" x14ac:dyDescent="0.3">
      <c r="B545" s="7" t="s">
        <v>40</v>
      </c>
      <c r="C545" s="7" t="s">
        <v>39</v>
      </c>
      <c r="D545" s="7" t="s">
        <v>38</v>
      </c>
      <c r="E545" s="7" t="s">
        <v>37</v>
      </c>
      <c r="F545" s="7" t="s">
        <v>36</v>
      </c>
      <c r="G545" s="7" t="s">
        <v>35</v>
      </c>
      <c r="H545" s="4"/>
      <c r="I545" s="6"/>
      <c r="J545" s="6"/>
      <c r="K545" s="6"/>
      <c r="L545" s="6"/>
      <c r="M545" s="5"/>
      <c r="N545" s="5"/>
    </row>
    <row r="546" spans="1:14" x14ac:dyDescent="0.25">
      <c r="B546" s="2" t="s">
        <v>48</v>
      </c>
      <c r="C546" s="1" t="s">
        <v>7</v>
      </c>
      <c r="D546" s="2">
        <v>194.99</v>
      </c>
      <c r="E546" s="2">
        <f>D554</f>
        <v>1463.76</v>
      </c>
      <c r="F546" s="2">
        <v>164.88</v>
      </c>
      <c r="G546" s="8">
        <f t="shared" ref="G546:G552" si="36">D546+(F546*(D546/E546))</f>
        <v>216.95394982784063</v>
      </c>
    </row>
    <row r="547" spans="1:14" ht="13" x14ac:dyDescent="0.3">
      <c r="A547" s="4"/>
      <c r="B547" s="2">
        <v>53</v>
      </c>
      <c r="C547" s="1" t="s">
        <v>8</v>
      </c>
      <c r="D547" s="2">
        <v>118.29</v>
      </c>
      <c r="E547" s="2">
        <v>1467.02</v>
      </c>
      <c r="F547" s="2">
        <v>164.88</v>
      </c>
      <c r="G547" s="8">
        <f t="shared" si="36"/>
        <v>131.58474390260528</v>
      </c>
    </row>
    <row r="548" spans="1:14" x14ac:dyDescent="0.25">
      <c r="B548" s="2" t="s">
        <v>47</v>
      </c>
      <c r="C548" s="1" t="s">
        <v>9</v>
      </c>
      <c r="D548" s="2">
        <v>322.82</v>
      </c>
      <c r="E548" s="2">
        <v>1467.02</v>
      </c>
      <c r="F548" s="2">
        <v>164.88</v>
      </c>
      <c r="G548" s="8">
        <f t="shared" si="36"/>
        <v>359.10209676759689</v>
      </c>
    </row>
    <row r="549" spans="1:14" x14ac:dyDescent="0.25">
      <c r="C549" s="1" t="s">
        <v>10</v>
      </c>
      <c r="D549" s="2">
        <v>275.31</v>
      </c>
      <c r="E549" s="2">
        <v>1467.02</v>
      </c>
      <c r="F549" s="2">
        <v>164.88</v>
      </c>
      <c r="G549" s="8">
        <f t="shared" si="36"/>
        <v>306.25239533203364</v>
      </c>
    </row>
    <row r="550" spans="1:14" x14ac:dyDescent="0.25">
      <c r="C550" s="1" t="s">
        <v>11</v>
      </c>
      <c r="D550" s="2">
        <v>118.33</v>
      </c>
      <c r="E550" s="2">
        <v>1467.02</v>
      </c>
      <c r="F550" s="2">
        <v>164.88</v>
      </c>
      <c r="G550" s="8">
        <f t="shared" si="36"/>
        <v>131.62923954683643</v>
      </c>
    </row>
    <row r="551" spans="1:14" x14ac:dyDescent="0.25">
      <c r="C551" s="1" t="s">
        <v>12</v>
      </c>
      <c r="D551" s="2">
        <v>431.78</v>
      </c>
      <c r="E551" s="2">
        <v>1467.02</v>
      </c>
      <c r="F551" s="2">
        <v>164.88</v>
      </c>
      <c r="G551" s="8">
        <f t="shared" si="36"/>
        <v>480.30823165328349</v>
      </c>
    </row>
    <row r="552" spans="1:14" x14ac:dyDescent="0.25">
      <c r="C552" s="1" t="s">
        <v>46</v>
      </c>
      <c r="D552" s="2">
        <v>2.2400000000000002</v>
      </c>
      <c r="E552" s="2">
        <v>1467.02</v>
      </c>
      <c r="F552" s="2">
        <v>164.88</v>
      </c>
      <c r="G552" s="8">
        <f t="shared" si="36"/>
        <v>2.4917560769450997</v>
      </c>
    </row>
    <row r="554" spans="1:14" x14ac:dyDescent="0.25">
      <c r="B554" s="2" t="s">
        <v>17</v>
      </c>
      <c r="D554" s="2">
        <f>SUM(D546:D552)</f>
        <v>1463.76</v>
      </c>
      <c r="G554" s="8">
        <f>SUM(G546:G552)</f>
        <v>1628.3224131071415</v>
      </c>
      <c r="I554" s="3">
        <f>SUM(G546:G551)</f>
        <v>1625.8306570301963</v>
      </c>
      <c r="J554" s="3">
        <v>0</v>
      </c>
      <c r="K554" s="3">
        <f>G552</f>
        <v>2.4917560769450997</v>
      </c>
      <c r="L554" s="3">
        <f>SUM(I554:K554)</f>
        <v>1628.3224131071415</v>
      </c>
    </row>
    <row r="556" spans="1:14" ht="13" x14ac:dyDescent="0.3">
      <c r="B556" s="7" t="s">
        <v>40</v>
      </c>
      <c r="C556" s="7" t="s">
        <v>39</v>
      </c>
      <c r="D556" s="7" t="s">
        <v>38</v>
      </c>
      <c r="E556" s="7" t="s">
        <v>37</v>
      </c>
      <c r="F556" s="7" t="s">
        <v>36</v>
      </c>
      <c r="G556" s="7" t="s">
        <v>35</v>
      </c>
      <c r="H556" s="4"/>
      <c r="I556" s="6"/>
      <c r="J556" s="6"/>
      <c r="K556" s="6"/>
      <c r="L556" s="6"/>
      <c r="M556" s="5"/>
      <c r="N556" s="5"/>
    </row>
    <row r="557" spans="1:14" x14ac:dyDescent="0.25">
      <c r="B557" s="2" t="s">
        <v>45</v>
      </c>
      <c r="C557" s="1" t="s">
        <v>44</v>
      </c>
      <c r="D557" s="2">
        <v>1218.43</v>
      </c>
      <c r="E557" s="2">
        <v>1430.16</v>
      </c>
      <c r="F557" s="2">
        <v>126.36</v>
      </c>
      <c r="G557" s="8">
        <f>D557+(F557*(D557/E557))</f>
        <v>1326.0828603792584</v>
      </c>
    </row>
    <row r="558" spans="1:14" ht="13" x14ac:dyDescent="0.3">
      <c r="A558" s="4"/>
      <c r="B558" s="2" t="s">
        <v>2</v>
      </c>
      <c r="C558" s="1" t="s">
        <v>43</v>
      </c>
      <c r="D558" s="2">
        <v>211.73</v>
      </c>
      <c r="E558" s="2">
        <v>1430.16</v>
      </c>
      <c r="F558" s="2">
        <v>126.36</v>
      </c>
      <c r="G558" s="8">
        <f>D558+(F558*(D558/E558))</f>
        <v>230.43713962074173</v>
      </c>
    </row>
    <row r="560" spans="1:14" x14ac:dyDescent="0.25">
      <c r="B560" s="2" t="s">
        <v>17</v>
      </c>
      <c r="D560" s="2">
        <f>SUM(D557:D558)</f>
        <v>1430.16</v>
      </c>
      <c r="G560" s="8">
        <f>SUM(G557:G558)</f>
        <v>1556.52</v>
      </c>
      <c r="I560" s="3">
        <f>SUM(G557:G558)</f>
        <v>1556.52</v>
      </c>
      <c r="J560" s="3">
        <v>0</v>
      </c>
      <c r="K560" s="3">
        <v>0</v>
      </c>
      <c r="L560" s="3">
        <f>SUM(I560:K560)</f>
        <v>1556.52</v>
      </c>
    </row>
    <row r="563" spans="1:14" ht="13" x14ac:dyDescent="0.3">
      <c r="B563" s="7" t="s">
        <v>40</v>
      </c>
      <c r="C563" s="7" t="s">
        <v>39</v>
      </c>
      <c r="D563" s="7" t="s">
        <v>38</v>
      </c>
      <c r="E563" s="7" t="s">
        <v>37</v>
      </c>
      <c r="F563" s="7" t="s">
        <v>36</v>
      </c>
      <c r="G563" s="7" t="s">
        <v>35</v>
      </c>
      <c r="H563" s="4"/>
      <c r="I563" s="6"/>
      <c r="J563" s="6"/>
      <c r="K563" s="6"/>
      <c r="L563" s="6"/>
      <c r="M563" s="5"/>
      <c r="N563" s="5"/>
    </row>
    <row r="564" spans="1:14" x14ac:dyDescent="0.25">
      <c r="B564" s="2" t="s">
        <v>42</v>
      </c>
      <c r="C564" s="1" t="s">
        <v>33</v>
      </c>
      <c r="D564" s="2">
        <v>451.59</v>
      </c>
      <c r="E564" s="2">
        <v>451.59</v>
      </c>
      <c r="F564" s="2">
        <v>58.83</v>
      </c>
      <c r="G564" s="2">
        <f>D564+(F564*(D564/E564))</f>
        <v>510.41999999999996</v>
      </c>
      <c r="I564" s="3">
        <f>SUM(G564)</f>
        <v>510.41999999999996</v>
      </c>
      <c r="J564" s="3">
        <v>0</v>
      </c>
      <c r="K564" s="3">
        <v>0</v>
      </c>
      <c r="L564" s="3">
        <f>SUM(I564:K564)</f>
        <v>510.41999999999996</v>
      </c>
    </row>
    <row r="565" spans="1:14" ht="13" x14ac:dyDescent="0.3">
      <c r="A565" s="4"/>
      <c r="B565" s="2" t="s">
        <v>1</v>
      </c>
    </row>
    <row r="568" spans="1:14" ht="13" x14ac:dyDescent="0.3">
      <c r="B568" s="7" t="s">
        <v>40</v>
      </c>
      <c r="C568" s="7" t="s">
        <v>39</v>
      </c>
      <c r="D568" s="7" t="s">
        <v>38</v>
      </c>
      <c r="E568" s="7" t="s">
        <v>37</v>
      </c>
      <c r="F568" s="7" t="s">
        <v>36</v>
      </c>
      <c r="G568" s="7" t="s">
        <v>35</v>
      </c>
      <c r="H568" s="4"/>
      <c r="I568" s="6"/>
      <c r="J568" s="6"/>
      <c r="K568" s="6"/>
      <c r="L568" s="6"/>
      <c r="M568" s="5"/>
      <c r="N568" s="5"/>
    </row>
    <row r="569" spans="1:14" x14ac:dyDescent="0.25">
      <c r="B569" s="2" t="s">
        <v>41</v>
      </c>
      <c r="C569" s="1" t="s">
        <v>33</v>
      </c>
      <c r="D569" s="2">
        <v>352.34</v>
      </c>
      <c r="E569" s="2">
        <v>352.34</v>
      </c>
      <c r="F569" s="2">
        <v>27.89</v>
      </c>
      <c r="G569" s="2">
        <f>D569+(F569*(D569/E569))</f>
        <v>380.22999999999996</v>
      </c>
      <c r="I569" s="3">
        <f>SUM(G569)</f>
        <v>380.22999999999996</v>
      </c>
      <c r="J569" s="3">
        <v>0</v>
      </c>
      <c r="K569" s="3">
        <v>0</v>
      </c>
      <c r="L569" s="3">
        <f>SUM(I569:K569)</f>
        <v>380.22999999999996</v>
      </c>
    </row>
    <row r="570" spans="1:14" ht="13" x14ac:dyDescent="0.3">
      <c r="A570" s="4"/>
      <c r="B570" s="2" t="s">
        <v>0</v>
      </c>
    </row>
    <row r="573" spans="1:14" ht="13" x14ac:dyDescent="0.3">
      <c r="B573" s="7" t="s">
        <v>40</v>
      </c>
      <c r="C573" s="7" t="s">
        <v>39</v>
      </c>
      <c r="D573" s="7" t="s">
        <v>38</v>
      </c>
      <c r="E573" s="7" t="s">
        <v>37</v>
      </c>
      <c r="F573" s="7" t="s">
        <v>36</v>
      </c>
      <c r="G573" s="7" t="s">
        <v>35</v>
      </c>
      <c r="H573" s="4"/>
      <c r="I573" s="6"/>
      <c r="J573" s="6"/>
      <c r="K573" s="6"/>
      <c r="L573" s="6"/>
      <c r="M573" s="5"/>
      <c r="N573" s="5"/>
    </row>
    <row r="574" spans="1:14" x14ac:dyDescent="0.25">
      <c r="B574" s="2" t="s">
        <v>34</v>
      </c>
      <c r="C574" s="1" t="s">
        <v>33</v>
      </c>
      <c r="D574" s="2">
        <v>268.68</v>
      </c>
      <c r="E574" s="2">
        <v>268.68</v>
      </c>
      <c r="F574" s="2">
        <v>24.13</v>
      </c>
      <c r="G574" s="2">
        <f>D574+(F574*(D574/E574))</f>
        <v>292.81</v>
      </c>
      <c r="I574" s="3">
        <f>SUM(G574)</f>
        <v>292.81</v>
      </c>
      <c r="J574" s="3">
        <v>0</v>
      </c>
      <c r="K574" s="3">
        <v>0</v>
      </c>
      <c r="L574" s="3">
        <f>SUM(I574:K574)</f>
        <v>292.81</v>
      </c>
    </row>
    <row r="575" spans="1:14" ht="13" x14ac:dyDescent="0.3">
      <c r="A575" s="4"/>
      <c r="B575" s="2" t="s">
        <v>23</v>
      </c>
    </row>
    <row r="576" spans="1:14" x14ac:dyDescent="0.25">
      <c r="I576" s="3">
        <f>SUM(I108:I574)</f>
        <v>59158.712713360997</v>
      </c>
      <c r="J576" s="3">
        <f>SUM(J108:J574)</f>
        <v>392.81548955275417</v>
      </c>
      <c r="K576" s="3">
        <f>SUM(K108:K574)</f>
        <v>32.507598851399628</v>
      </c>
      <c r="L576" s="3">
        <f>SUM(L108:L574)</f>
        <v>59584.035801765138</v>
      </c>
    </row>
  </sheetData>
  <pageMargins left="0.25" right="0.25" top="0.75" bottom="0.75" header="0.3" footer="0.3"/>
  <pageSetup paperSize="8" fitToWidth="0" orientation="portrait" horizontalDpi="300" verticalDpi="300" r:id="rId1"/>
  <rowBreaks count="6" manualBreakCount="6">
    <brk id="159" min="1" max="13" man="1"/>
    <brk id="214" min="1" max="13" man="1"/>
    <brk id="429" min="1" max="13" man="1"/>
    <brk id="471" min="1" max="13" man="1"/>
    <brk id="512" min="1" max="13" man="1"/>
    <brk id="543" min="1" max="1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I58"/>
  <sheetViews>
    <sheetView workbookViewId="0">
      <selection activeCell="E8" sqref="E8"/>
    </sheetView>
  </sheetViews>
  <sheetFormatPr defaultColWidth="8.81640625" defaultRowHeight="14.5" x14ac:dyDescent="0.35"/>
  <cols>
    <col min="1" max="1" width="2.81640625" customWidth="1"/>
    <col min="2" max="2" width="15.453125" customWidth="1"/>
    <col min="8" max="8" width="13.81640625" customWidth="1"/>
    <col min="9" max="9" width="18.453125" customWidth="1"/>
  </cols>
  <sheetData>
    <row r="2" spans="1:9" x14ac:dyDescent="0.35">
      <c r="A2" s="256"/>
      <c r="B2" s="256" t="s">
        <v>371</v>
      </c>
      <c r="C2" s="256" t="s">
        <v>177</v>
      </c>
      <c r="D2" s="256" t="s">
        <v>370</v>
      </c>
      <c r="E2" s="256" t="s">
        <v>176</v>
      </c>
      <c r="F2" s="256" t="s">
        <v>102</v>
      </c>
    </row>
    <row r="3" spans="1:9" x14ac:dyDescent="0.35">
      <c r="A3" s="185"/>
      <c r="B3" s="185"/>
      <c r="C3" s="185"/>
      <c r="D3" s="185"/>
      <c r="E3" s="185"/>
      <c r="F3" s="185"/>
      <c r="H3" s="255" t="s">
        <v>369</v>
      </c>
    </row>
    <row r="4" spans="1:9" x14ac:dyDescent="0.35">
      <c r="A4" s="185"/>
      <c r="B4" s="185" t="s">
        <v>368</v>
      </c>
      <c r="C4" s="185"/>
      <c r="D4" s="248">
        <f>BOMA!I12</f>
        <v>26.38</v>
      </c>
      <c r="E4" s="185"/>
      <c r="F4" s="248">
        <v>139.07999999999998</v>
      </c>
      <c r="H4" s="254"/>
      <c r="I4" s="253" t="s">
        <v>367</v>
      </c>
    </row>
    <row r="5" spans="1:9" x14ac:dyDescent="0.35">
      <c r="A5" s="185"/>
      <c r="B5" s="185" t="s">
        <v>366</v>
      </c>
      <c r="C5" s="185"/>
      <c r="D5" s="248">
        <f>BOMA!I24</f>
        <v>26.38</v>
      </c>
      <c r="E5" s="185"/>
      <c r="F5" s="248">
        <v>110.10000000000001</v>
      </c>
      <c r="H5" s="185" t="s">
        <v>365</v>
      </c>
      <c r="I5" s="251">
        <f>C54</f>
        <v>61150.78271336099</v>
      </c>
    </row>
    <row r="6" spans="1:9" x14ac:dyDescent="0.35">
      <c r="A6" s="185"/>
      <c r="B6" s="185" t="s">
        <v>364</v>
      </c>
      <c r="C6" s="185"/>
      <c r="D6" s="248">
        <f>BOMA!I36</f>
        <v>26.38</v>
      </c>
      <c r="E6" s="185"/>
      <c r="F6" s="248">
        <v>130.72</v>
      </c>
      <c r="H6" s="185" t="s">
        <v>3</v>
      </c>
      <c r="I6" s="251">
        <f>D54</f>
        <v>2482.4</v>
      </c>
    </row>
    <row r="7" spans="1:9" x14ac:dyDescent="0.35">
      <c r="A7" s="185"/>
      <c r="B7" s="185" t="s">
        <v>363</v>
      </c>
      <c r="C7" s="252">
        <v>340.76</v>
      </c>
      <c r="D7" s="248">
        <f>BOMA!J44</f>
        <v>26.38</v>
      </c>
      <c r="E7" s="185"/>
      <c r="F7" s="248">
        <v>26.56</v>
      </c>
      <c r="H7" s="185" t="s">
        <v>362</v>
      </c>
      <c r="I7" s="251">
        <f>E54</f>
        <v>1166.06</v>
      </c>
    </row>
    <row r="8" spans="1:9" x14ac:dyDescent="0.35">
      <c r="A8" s="185"/>
      <c r="B8" s="185" t="s">
        <v>4</v>
      </c>
      <c r="C8" s="185"/>
      <c r="D8" s="185">
        <f>SUM(BOMA!D47:D61)+6</f>
        <v>134.08000000000004</v>
      </c>
      <c r="E8" s="185">
        <v>111</v>
      </c>
      <c r="F8" s="185">
        <v>117.65</v>
      </c>
      <c r="H8" s="185" t="s">
        <v>361</v>
      </c>
      <c r="I8" s="251">
        <f>F54</f>
        <v>1001.0054895527545</v>
      </c>
    </row>
    <row r="9" spans="1:9" x14ac:dyDescent="0.35">
      <c r="A9" s="185"/>
      <c r="B9" s="185" t="s">
        <v>114</v>
      </c>
      <c r="C9" s="248">
        <v>1297.8499999999999</v>
      </c>
      <c r="D9" s="248">
        <v>16</v>
      </c>
      <c r="E9" s="185"/>
      <c r="F9" s="248">
        <v>9.1</v>
      </c>
      <c r="H9" s="185"/>
      <c r="I9" s="251"/>
    </row>
    <row r="10" spans="1:9" x14ac:dyDescent="0.35">
      <c r="A10" s="185"/>
      <c r="B10" s="185" t="s">
        <v>109</v>
      </c>
      <c r="C10" s="185"/>
      <c r="D10" s="248">
        <v>671.5</v>
      </c>
      <c r="E10" s="185"/>
      <c r="F10" s="248">
        <v>12.71</v>
      </c>
      <c r="H10" s="185" t="s">
        <v>17</v>
      </c>
      <c r="I10" s="251">
        <f>SUM(I5:I8)</f>
        <v>65800.248202913746</v>
      </c>
    </row>
    <row r="11" spans="1:9" x14ac:dyDescent="0.35">
      <c r="A11" s="185"/>
      <c r="B11" s="185" t="s">
        <v>360</v>
      </c>
      <c r="C11" s="185"/>
      <c r="D11" s="248">
        <v>812.72</v>
      </c>
      <c r="E11" s="185"/>
      <c r="F11" s="248"/>
    </row>
    <row r="12" spans="1:9" x14ac:dyDescent="0.35">
      <c r="A12" s="185"/>
      <c r="B12" s="249">
        <v>2</v>
      </c>
      <c r="C12" s="250">
        <v>353.46</v>
      </c>
      <c r="D12" s="248">
        <v>742.57999999999993</v>
      </c>
      <c r="E12" s="185">
        <v>1055.06</v>
      </c>
      <c r="F12" s="248">
        <v>62.27</v>
      </c>
    </row>
    <row r="13" spans="1:9" x14ac:dyDescent="0.35">
      <c r="A13" s="185"/>
      <c r="B13" s="249">
        <v>3</v>
      </c>
      <c r="C13" s="248">
        <v>1422.3688039525493</v>
      </c>
      <c r="D13" s="185"/>
      <c r="E13" s="185"/>
      <c r="F13" s="248">
        <v>15.81</v>
      </c>
    </row>
    <row r="14" spans="1:9" x14ac:dyDescent="0.35">
      <c r="A14" s="185"/>
      <c r="B14" s="249">
        <v>5</v>
      </c>
      <c r="C14" s="248">
        <v>1505.1009009672962</v>
      </c>
      <c r="D14" s="185"/>
      <c r="E14" s="185"/>
      <c r="F14" s="248">
        <v>27.93</v>
      </c>
    </row>
    <row r="15" spans="1:9" x14ac:dyDescent="0.35">
      <c r="A15" s="185"/>
      <c r="B15" s="249">
        <v>6</v>
      </c>
      <c r="C15" s="248">
        <v>1485.5836169760951</v>
      </c>
      <c r="D15" s="185"/>
      <c r="E15" s="185"/>
      <c r="F15" s="248">
        <v>43.910000000000004</v>
      </c>
    </row>
    <row r="16" spans="1:9" x14ac:dyDescent="0.35">
      <c r="A16" s="185"/>
      <c r="B16" s="249">
        <v>7</v>
      </c>
      <c r="C16" s="248">
        <v>1488.3066606621669</v>
      </c>
      <c r="D16" s="185"/>
      <c r="E16" s="185"/>
      <c r="F16" s="248">
        <v>38.76</v>
      </c>
    </row>
    <row r="17" spans="1:6" x14ac:dyDescent="0.35">
      <c r="A17" s="185"/>
      <c r="B17" s="249">
        <v>8</v>
      </c>
      <c r="C17" s="248">
        <v>1518.351827882</v>
      </c>
      <c r="D17" s="185"/>
      <c r="E17" s="185"/>
      <c r="F17" s="248">
        <v>15.84</v>
      </c>
    </row>
    <row r="18" spans="1:6" x14ac:dyDescent="0.35">
      <c r="A18" s="185"/>
      <c r="B18" s="249">
        <v>9</v>
      </c>
      <c r="C18" s="248">
        <v>1505.1041860322284</v>
      </c>
      <c r="D18" s="185"/>
      <c r="E18" s="185"/>
      <c r="F18" s="248">
        <v>27.909999999999997</v>
      </c>
    </row>
    <row r="19" spans="1:6" x14ac:dyDescent="0.35">
      <c r="A19" s="185"/>
      <c r="B19" s="249">
        <v>10</v>
      </c>
      <c r="C19" s="248">
        <v>1488.3099082589724</v>
      </c>
      <c r="D19" s="185"/>
      <c r="E19" s="185"/>
      <c r="F19" s="248">
        <v>38.739999999999995</v>
      </c>
    </row>
    <row r="20" spans="1:6" x14ac:dyDescent="0.35">
      <c r="A20" s="185"/>
      <c r="B20" s="249">
        <v>11</v>
      </c>
      <c r="C20" s="248">
        <v>1519.2050014594824</v>
      </c>
      <c r="D20" s="185"/>
      <c r="E20" s="185"/>
      <c r="F20" s="248">
        <v>16.009999999999998</v>
      </c>
    </row>
    <row r="21" spans="1:6" x14ac:dyDescent="0.35">
      <c r="A21" s="185"/>
      <c r="B21" s="249">
        <v>12</v>
      </c>
      <c r="C21" s="248">
        <v>1565.69</v>
      </c>
      <c r="D21" s="185"/>
      <c r="E21" s="185"/>
      <c r="F21" s="185"/>
    </row>
    <row r="22" spans="1:6" x14ac:dyDescent="0.35">
      <c r="A22" s="185"/>
      <c r="B22" s="249">
        <v>15</v>
      </c>
      <c r="C22" s="248">
        <v>1547.7709235518103</v>
      </c>
      <c r="D22" s="185"/>
      <c r="E22" s="185"/>
      <c r="F22" s="248">
        <v>12.84</v>
      </c>
    </row>
    <row r="23" spans="1:6" x14ac:dyDescent="0.35">
      <c r="A23" s="185"/>
      <c r="B23" s="249">
        <v>16</v>
      </c>
      <c r="C23" s="248">
        <v>1547.6845104472457</v>
      </c>
      <c r="D23" s="185"/>
      <c r="E23" s="185"/>
      <c r="F23" s="248">
        <v>18.615489552754273</v>
      </c>
    </row>
    <row r="24" spans="1:6" x14ac:dyDescent="0.35">
      <c r="A24" s="185"/>
      <c r="B24" s="249">
        <v>17</v>
      </c>
      <c r="C24" s="248">
        <v>1547.6845104472457</v>
      </c>
      <c r="D24" s="185"/>
      <c r="E24" s="185"/>
      <c r="F24" s="248">
        <v>15.829999999999998</v>
      </c>
    </row>
    <row r="25" spans="1:6" x14ac:dyDescent="0.35">
      <c r="A25" s="185"/>
      <c r="B25" s="249">
        <v>18</v>
      </c>
      <c r="C25" s="248">
        <v>1563.7810374560884</v>
      </c>
      <c r="D25" s="185"/>
      <c r="E25" s="185"/>
      <c r="F25" s="185"/>
    </row>
    <row r="26" spans="1:6" x14ac:dyDescent="0.35">
      <c r="A26" s="185"/>
      <c r="B26" s="249">
        <v>19</v>
      </c>
      <c r="C26" s="248">
        <v>1547.694391597156</v>
      </c>
      <c r="D26" s="185"/>
      <c r="E26" s="185"/>
      <c r="F26" s="248">
        <v>15.829999999999998</v>
      </c>
    </row>
    <row r="27" spans="1:6" x14ac:dyDescent="0.35">
      <c r="A27" s="185"/>
      <c r="B27" s="249">
        <v>20</v>
      </c>
      <c r="C27" s="248">
        <v>1547.694391597156</v>
      </c>
      <c r="D27" s="185"/>
      <c r="E27" s="185"/>
      <c r="F27" s="248">
        <v>15.829999999999998</v>
      </c>
    </row>
    <row r="28" spans="1:6" x14ac:dyDescent="0.35">
      <c r="A28" s="185"/>
      <c r="B28" s="249">
        <v>21</v>
      </c>
      <c r="C28" s="248">
        <v>1547.7674437292999</v>
      </c>
      <c r="D28" s="185"/>
      <c r="E28" s="185"/>
      <c r="F28" s="248">
        <v>12.86</v>
      </c>
    </row>
    <row r="29" spans="1:6" x14ac:dyDescent="0.35">
      <c r="A29" s="185"/>
      <c r="B29" s="249">
        <v>22</v>
      </c>
      <c r="C29" s="248">
        <v>1567.5700000000002</v>
      </c>
      <c r="D29" s="185"/>
      <c r="E29" s="185"/>
      <c r="F29" s="185"/>
    </row>
    <row r="30" spans="1:6" x14ac:dyDescent="0.35">
      <c r="A30" s="185"/>
      <c r="B30" s="249">
        <v>23</v>
      </c>
      <c r="C30" s="248">
        <v>1547.694391597156</v>
      </c>
      <c r="D30" s="185"/>
      <c r="E30" s="185"/>
      <c r="F30" s="248">
        <v>15.829999999999998</v>
      </c>
    </row>
    <row r="31" spans="1:6" x14ac:dyDescent="0.35">
      <c r="A31" s="185"/>
      <c r="B31" s="249">
        <v>25</v>
      </c>
      <c r="C31" s="248">
        <v>1547.7674437292999</v>
      </c>
      <c r="D31" s="185"/>
      <c r="E31" s="185"/>
      <c r="F31" s="248">
        <v>12.86</v>
      </c>
    </row>
    <row r="32" spans="1:6" x14ac:dyDescent="0.35">
      <c r="A32" s="185"/>
      <c r="B32" s="249">
        <v>26</v>
      </c>
      <c r="C32" s="248">
        <v>1547.694391597156</v>
      </c>
      <c r="D32" s="185"/>
      <c r="E32" s="185"/>
      <c r="F32" s="248">
        <v>15.829999999999998</v>
      </c>
    </row>
    <row r="33" spans="1:6" x14ac:dyDescent="0.35">
      <c r="A33" s="185"/>
      <c r="B33" s="249">
        <v>27</v>
      </c>
      <c r="C33" s="248">
        <v>1547.7674437292999</v>
      </c>
      <c r="D33" s="185"/>
      <c r="E33" s="185"/>
      <c r="F33" s="248">
        <v>15.75</v>
      </c>
    </row>
    <row r="34" spans="1:6" x14ac:dyDescent="0.35">
      <c r="A34" s="185"/>
      <c r="B34" s="249">
        <v>28</v>
      </c>
      <c r="C34" s="248">
        <v>1543.5819915254237</v>
      </c>
      <c r="D34" s="185"/>
      <c r="E34" s="185"/>
      <c r="F34" s="248">
        <v>15.829999999999998</v>
      </c>
    </row>
    <row r="35" spans="1:6" x14ac:dyDescent="0.35">
      <c r="A35" s="185"/>
      <c r="B35" s="249">
        <v>29</v>
      </c>
      <c r="C35" s="248">
        <v>1612.32</v>
      </c>
      <c r="D35" s="185"/>
      <c r="E35" s="185"/>
      <c r="F35" s="185"/>
    </row>
    <row r="36" spans="1:6" x14ac:dyDescent="0.35">
      <c r="A36" s="185"/>
      <c r="B36" s="249">
        <v>30</v>
      </c>
      <c r="C36" s="248">
        <v>1630.5900000000001</v>
      </c>
      <c r="D36" s="185"/>
      <c r="E36" s="185"/>
      <c r="F36" s="185"/>
    </row>
    <row r="37" spans="1:6" x14ac:dyDescent="0.35">
      <c r="A37" s="185"/>
      <c r="B37" s="249">
        <v>31</v>
      </c>
      <c r="C37" s="248">
        <v>1623.8645345557122</v>
      </c>
      <c r="D37" s="185"/>
      <c r="E37" s="185"/>
      <c r="F37" s="185"/>
    </row>
    <row r="38" spans="1:6" x14ac:dyDescent="0.35">
      <c r="A38" s="185"/>
      <c r="B38" s="249">
        <v>32</v>
      </c>
      <c r="C38" s="248">
        <v>1629.07</v>
      </c>
      <c r="D38" s="185"/>
      <c r="E38" s="185"/>
      <c r="F38" s="185"/>
    </row>
    <row r="39" spans="1:6" x14ac:dyDescent="0.35">
      <c r="A39" s="185"/>
      <c r="B39" s="249">
        <v>33</v>
      </c>
      <c r="C39" s="248">
        <v>1628.55</v>
      </c>
      <c r="D39" s="185"/>
      <c r="E39" s="185"/>
      <c r="F39" s="185"/>
    </row>
    <row r="40" spans="1:6" x14ac:dyDescent="0.35">
      <c r="A40" s="185"/>
      <c r="B40" s="249">
        <v>35</v>
      </c>
      <c r="C40" s="248">
        <v>1621.2677004212183</v>
      </c>
      <c r="D40" s="185"/>
      <c r="E40" s="185"/>
      <c r="F40" s="185"/>
    </row>
    <row r="41" spans="1:6" x14ac:dyDescent="0.35">
      <c r="A41" s="185"/>
      <c r="B41" s="249">
        <v>36</v>
      </c>
      <c r="C41" s="248">
        <v>1628.79</v>
      </c>
      <c r="D41" s="185"/>
      <c r="E41" s="185"/>
      <c r="F41" s="185"/>
    </row>
    <row r="42" spans="1:6" x14ac:dyDescent="0.35">
      <c r="A42" s="185"/>
      <c r="B42" s="249">
        <v>37</v>
      </c>
      <c r="C42" s="248">
        <v>1628.79</v>
      </c>
      <c r="D42" s="185"/>
      <c r="E42" s="185"/>
      <c r="F42" s="185"/>
    </row>
    <row r="43" spans="1:6" x14ac:dyDescent="0.35">
      <c r="A43" s="185"/>
      <c r="B43" s="249">
        <v>38</v>
      </c>
      <c r="C43" s="248">
        <v>1620.688594226225</v>
      </c>
      <c r="D43" s="185"/>
      <c r="E43" s="185"/>
      <c r="F43" s="185"/>
    </row>
    <row r="44" spans="1:6" x14ac:dyDescent="0.35">
      <c r="A44" s="185"/>
      <c r="B44" s="249">
        <v>39</v>
      </c>
      <c r="C44" s="248">
        <v>1630.3199999999997</v>
      </c>
      <c r="D44" s="185"/>
      <c r="E44" s="185"/>
      <c r="F44" s="185"/>
    </row>
    <row r="45" spans="1:6" x14ac:dyDescent="0.35">
      <c r="A45" s="185"/>
      <c r="B45" s="249">
        <v>50</v>
      </c>
      <c r="C45" s="248">
        <v>1629.2999999999997</v>
      </c>
      <c r="D45" s="185"/>
      <c r="E45" s="185"/>
      <c r="F45" s="185"/>
    </row>
    <row r="46" spans="1:6" x14ac:dyDescent="0.35">
      <c r="A46" s="185"/>
      <c r="B46" s="249">
        <v>51</v>
      </c>
      <c r="C46" s="248">
        <v>1629.9274499325163</v>
      </c>
      <c r="D46" s="185"/>
      <c r="E46" s="185"/>
      <c r="F46" s="185"/>
    </row>
    <row r="47" spans="1:6" x14ac:dyDescent="0.35">
      <c r="A47" s="185"/>
      <c r="B47" s="249">
        <v>52</v>
      </c>
      <c r="C47" s="248">
        <v>1629.25</v>
      </c>
      <c r="D47" s="185"/>
      <c r="E47" s="185"/>
      <c r="F47" s="185"/>
    </row>
    <row r="48" spans="1:6" x14ac:dyDescent="0.35">
      <c r="A48" s="185"/>
      <c r="B48" s="249">
        <v>53</v>
      </c>
      <c r="C48" s="248">
        <v>1625.8306570301963</v>
      </c>
      <c r="D48" s="185"/>
      <c r="E48" s="185"/>
      <c r="F48" s="185"/>
    </row>
    <row r="49" spans="1:6" x14ac:dyDescent="0.35">
      <c r="A49" s="185"/>
      <c r="B49" s="249">
        <v>55</v>
      </c>
      <c r="C49" s="248">
        <v>1556.52</v>
      </c>
      <c r="D49" s="185"/>
      <c r="E49" s="185"/>
      <c r="F49" s="185"/>
    </row>
    <row r="50" spans="1:6" x14ac:dyDescent="0.35">
      <c r="A50" s="185"/>
      <c r="B50" s="185" t="s">
        <v>31</v>
      </c>
      <c r="C50" s="248">
        <v>510.41999999999996</v>
      </c>
      <c r="D50" s="185"/>
      <c r="E50" s="185"/>
      <c r="F50" s="185"/>
    </row>
    <row r="51" spans="1:6" x14ac:dyDescent="0.35">
      <c r="A51" s="185"/>
      <c r="B51" s="185" t="s">
        <v>32</v>
      </c>
      <c r="C51" s="248">
        <v>380.22999999999996</v>
      </c>
      <c r="D51" s="185"/>
      <c r="E51" s="185"/>
      <c r="F51" s="185"/>
    </row>
    <row r="52" spans="1:6" x14ac:dyDescent="0.35">
      <c r="A52" s="185"/>
      <c r="B52" s="185" t="s">
        <v>175</v>
      </c>
      <c r="C52" s="248">
        <v>292.81</v>
      </c>
      <c r="D52" s="185"/>
      <c r="E52" s="185"/>
      <c r="F52" s="185"/>
    </row>
    <row r="53" spans="1:6" x14ac:dyDescent="0.35">
      <c r="A53" s="185"/>
      <c r="B53" s="185"/>
      <c r="C53" s="185"/>
      <c r="D53" s="185"/>
      <c r="E53" s="185"/>
      <c r="F53" s="185"/>
    </row>
    <row r="54" spans="1:6" x14ac:dyDescent="0.35">
      <c r="A54" s="185"/>
      <c r="B54" s="185" t="s">
        <v>17</v>
      </c>
      <c r="C54" s="185">
        <f>SUM(C4:C52)</f>
        <v>61150.78271336099</v>
      </c>
      <c r="D54" s="248">
        <f>SUM(D4:D12)</f>
        <v>2482.4</v>
      </c>
      <c r="E54" s="185">
        <f>SUM(E8:E12)</f>
        <v>1166.06</v>
      </c>
      <c r="F54" s="248">
        <f>SUM(F4:F34)</f>
        <v>1001.0054895527545</v>
      </c>
    </row>
    <row r="56" spans="1:6" x14ac:dyDescent="0.35">
      <c r="B56" t="s">
        <v>221</v>
      </c>
      <c r="C56" s="247"/>
      <c r="D56" t="s">
        <v>359</v>
      </c>
    </row>
    <row r="57" spans="1:6" x14ac:dyDescent="0.35">
      <c r="D57" t="s">
        <v>358</v>
      </c>
    </row>
    <row r="58" spans="1:6" x14ac:dyDescent="0.35">
      <c r="D58" t="s">
        <v>357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I57"/>
  <sheetViews>
    <sheetView workbookViewId="0">
      <selection activeCell="I5" sqref="I5"/>
    </sheetView>
  </sheetViews>
  <sheetFormatPr defaultColWidth="8.81640625" defaultRowHeight="14.5" x14ac:dyDescent="0.35"/>
  <cols>
    <col min="1" max="1" width="2.81640625" customWidth="1"/>
    <col min="2" max="2" width="15.453125" customWidth="1"/>
    <col min="8" max="8" width="13.81640625" customWidth="1"/>
    <col min="9" max="9" width="18.453125" customWidth="1"/>
  </cols>
  <sheetData>
    <row r="1" spans="2:9" x14ac:dyDescent="0.35">
      <c r="B1" t="s">
        <v>371</v>
      </c>
      <c r="C1" t="s">
        <v>177</v>
      </c>
      <c r="D1" t="s">
        <v>370</v>
      </c>
      <c r="E1" t="s">
        <v>176</v>
      </c>
      <c r="F1" t="s">
        <v>102</v>
      </c>
    </row>
    <row r="2" spans="2:9" x14ac:dyDescent="0.35">
      <c r="H2" t="s">
        <v>369</v>
      </c>
    </row>
    <row r="3" spans="2:9" x14ac:dyDescent="0.35">
      <c r="B3" t="s">
        <v>368</v>
      </c>
      <c r="D3" s="257">
        <v>26.38</v>
      </c>
      <c r="F3" s="257">
        <v>139.07999999999998</v>
      </c>
      <c r="I3" t="s">
        <v>367</v>
      </c>
    </row>
    <row r="4" spans="2:9" x14ac:dyDescent="0.35">
      <c r="B4" t="s">
        <v>366</v>
      </c>
      <c r="D4" s="257">
        <v>26.38</v>
      </c>
      <c r="F4" s="257">
        <v>110.10000000000001</v>
      </c>
      <c r="H4" t="s">
        <v>365</v>
      </c>
      <c r="I4" s="258">
        <v>61150.78271336099</v>
      </c>
    </row>
    <row r="5" spans="2:9" x14ac:dyDescent="0.35">
      <c r="B5" t="s">
        <v>364</v>
      </c>
      <c r="D5" s="257">
        <v>26.38</v>
      </c>
      <c r="F5" s="257">
        <v>130.72</v>
      </c>
      <c r="H5" t="s">
        <v>3</v>
      </c>
      <c r="I5" s="258">
        <v>2482.4</v>
      </c>
    </row>
    <row r="6" spans="2:9" x14ac:dyDescent="0.35">
      <c r="B6" t="s">
        <v>363</v>
      </c>
      <c r="C6" s="257">
        <v>340.76</v>
      </c>
      <c r="D6" s="257">
        <v>26.38</v>
      </c>
      <c r="F6" s="257">
        <v>26.56</v>
      </c>
      <c r="H6" t="s">
        <v>362</v>
      </c>
      <c r="I6" s="258">
        <v>1166.06</v>
      </c>
    </row>
    <row r="7" spans="2:9" x14ac:dyDescent="0.35">
      <c r="B7" t="s">
        <v>4</v>
      </c>
      <c r="D7">
        <v>134.08000000000004</v>
      </c>
      <c r="E7">
        <v>111</v>
      </c>
      <c r="F7">
        <v>117.65</v>
      </c>
      <c r="H7" t="s">
        <v>361</v>
      </c>
      <c r="I7" s="258">
        <v>1001.0054895527545</v>
      </c>
    </row>
    <row r="8" spans="2:9" x14ac:dyDescent="0.35">
      <c r="B8" t="s">
        <v>114</v>
      </c>
      <c r="C8" s="257">
        <v>1297.8499999999999</v>
      </c>
      <c r="D8" s="257">
        <v>16</v>
      </c>
      <c r="F8" s="257">
        <v>9.1</v>
      </c>
      <c r="I8" s="258"/>
    </row>
    <row r="9" spans="2:9" x14ac:dyDescent="0.35">
      <c r="B9" t="s">
        <v>109</v>
      </c>
      <c r="D9" s="257">
        <v>671.5</v>
      </c>
      <c r="F9" s="257">
        <v>12.71</v>
      </c>
      <c r="H9" t="s">
        <v>17</v>
      </c>
      <c r="I9" s="258">
        <v>65800.248202913746</v>
      </c>
    </row>
    <row r="10" spans="2:9" x14ac:dyDescent="0.35">
      <c r="B10" t="s">
        <v>360</v>
      </c>
      <c r="D10" s="257">
        <v>812.72</v>
      </c>
      <c r="F10" s="257"/>
    </row>
    <row r="11" spans="2:9" x14ac:dyDescent="0.35">
      <c r="B11">
        <v>2</v>
      </c>
      <c r="C11">
        <v>353.46</v>
      </c>
      <c r="D11" s="257">
        <v>742.57999999999993</v>
      </c>
      <c r="E11">
        <v>1055.06</v>
      </c>
      <c r="F11" s="257">
        <v>62.27</v>
      </c>
    </row>
    <row r="12" spans="2:9" x14ac:dyDescent="0.35">
      <c r="B12">
        <v>3</v>
      </c>
      <c r="C12" s="257">
        <v>1422.3688039525493</v>
      </c>
      <c r="F12" s="257">
        <v>15.81</v>
      </c>
    </row>
    <row r="13" spans="2:9" x14ac:dyDescent="0.35">
      <c r="B13">
        <v>5</v>
      </c>
      <c r="C13" s="257">
        <v>1505.1009009672962</v>
      </c>
      <c r="F13" s="257">
        <v>27.93</v>
      </c>
    </row>
    <row r="14" spans="2:9" x14ac:dyDescent="0.35">
      <c r="B14">
        <v>6</v>
      </c>
      <c r="C14" s="257">
        <v>1485.5836169760951</v>
      </c>
      <c r="F14" s="257">
        <v>43.910000000000004</v>
      </c>
    </row>
    <row r="15" spans="2:9" x14ac:dyDescent="0.35">
      <c r="B15">
        <v>7</v>
      </c>
      <c r="C15" s="257">
        <v>1488.3066606621669</v>
      </c>
      <c r="F15" s="257">
        <v>38.76</v>
      </c>
    </row>
    <row r="16" spans="2:9" x14ac:dyDescent="0.35">
      <c r="B16">
        <v>8</v>
      </c>
      <c r="C16" s="257">
        <v>1518.351827882</v>
      </c>
      <c r="F16" s="257">
        <v>15.84</v>
      </c>
    </row>
    <row r="17" spans="2:6" x14ac:dyDescent="0.35">
      <c r="B17">
        <v>9</v>
      </c>
      <c r="C17" s="257">
        <v>1505.1041860322284</v>
      </c>
      <c r="F17" s="257">
        <v>27.909999999999997</v>
      </c>
    </row>
    <row r="18" spans="2:6" x14ac:dyDescent="0.35">
      <c r="B18">
        <v>10</v>
      </c>
      <c r="C18" s="257">
        <v>1488.3099082589724</v>
      </c>
      <c r="F18" s="257">
        <v>38.739999999999995</v>
      </c>
    </row>
    <row r="19" spans="2:6" x14ac:dyDescent="0.35">
      <c r="B19">
        <v>11</v>
      </c>
      <c r="C19" s="257">
        <v>1519.2050014594824</v>
      </c>
      <c r="F19" s="257">
        <v>16.009999999999998</v>
      </c>
    </row>
    <row r="20" spans="2:6" x14ac:dyDescent="0.35">
      <c r="B20">
        <v>12</v>
      </c>
      <c r="C20" s="257">
        <v>1565.69</v>
      </c>
    </row>
    <row r="21" spans="2:6" x14ac:dyDescent="0.35">
      <c r="B21">
        <v>15</v>
      </c>
      <c r="C21" s="257">
        <v>1547.7709235518103</v>
      </c>
      <c r="F21" s="257">
        <v>12.84</v>
      </c>
    </row>
    <row r="22" spans="2:6" x14ac:dyDescent="0.35">
      <c r="B22">
        <v>16</v>
      </c>
      <c r="C22" s="257">
        <v>1547.6845104472457</v>
      </c>
      <c r="F22" s="257">
        <v>18.615489552754273</v>
      </c>
    </row>
    <row r="23" spans="2:6" x14ac:dyDescent="0.35">
      <c r="B23">
        <v>17</v>
      </c>
      <c r="C23" s="257">
        <v>1547.6845104472457</v>
      </c>
      <c r="F23" s="257">
        <v>15.829999999999998</v>
      </c>
    </row>
    <row r="24" spans="2:6" x14ac:dyDescent="0.35">
      <c r="B24">
        <v>18</v>
      </c>
      <c r="C24" s="257">
        <v>1563.7810374560884</v>
      </c>
    </row>
    <row r="25" spans="2:6" x14ac:dyDescent="0.35">
      <c r="B25">
        <v>19</v>
      </c>
      <c r="C25" s="257">
        <v>1547.694391597156</v>
      </c>
      <c r="F25" s="257">
        <v>15.829999999999998</v>
      </c>
    </row>
    <row r="26" spans="2:6" x14ac:dyDescent="0.35">
      <c r="B26">
        <v>20</v>
      </c>
      <c r="C26" s="257">
        <v>1547.694391597156</v>
      </c>
      <c r="F26" s="257">
        <v>15.829999999999998</v>
      </c>
    </row>
    <row r="27" spans="2:6" x14ac:dyDescent="0.35">
      <c r="B27">
        <v>21</v>
      </c>
      <c r="C27" s="257">
        <v>1547.7674437292999</v>
      </c>
      <c r="F27" s="257">
        <v>12.86</v>
      </c>
    </row>
    <row r="28" spans="2:6" x14ac:dyDescent="0.35">
      <c r="B28">
        <v>22</v>
      </c>
      <c r="C28" s="257">
        <v>1567.5700000000002</v>
      </c>
    </row>
    <row r="29" spans="2:6" x14ac:dyDescent="0.35">
      <c r="B29">
        <v>23</v>
      </c>
      <c r="C29" s="257">
        <v>1547.694391597156</v>
      </c>
      <c r="F29" s="257">
        <v>15.829999999999998</v>
      </c>
    </row>
    <row r="30" spans="2:6" x14ac:dyDescent="0.35">
      <c r="B30">
        <v>25</v>
      </c>
      <c r="C30" s="257">
        <v>1547.7674437292999</v>
      </c>
      <c r="F30" s="257">
        <v>12.86</v>
      </c>
    </row>
    <row r="31" spans="2:6" x14ac:dyDescent="0.35">
      <c r="B31">
        <v>26</v>
      </c>
      <c r="C31" s="257">
        <v>1547.694391597156</v>
      </c>
      <c r="F31" s="257">
        <v>15.829999999999998</v>
      </c>
    </row>
    <row r="32" spans="2:6" x14ac:dyDescent="0.35">
      <c r="B32">
        <v>27</v>
      </c>
      <c r="C32" s="257">
        <v>1547.7674437292999</v>
      </c>
      <c r="F32" s="257">
        <v>15.75</v>
      </c>
    </row>
    <row r="33" spans="2:6" x14ac:dyDescent="0.35">
      <c r="B33">
        <v>28</v>
      </c>
      <c r="C33" s="257">
        <v>1543.5819915254237</v>
      </c>
      <c r="F33" s="257">
        <v>15.829999999999998</v>
      </c>
    </row>
    <row r="34" spans="2:6" x14ac:dyDescent="0.35">
      <c r="B34">
        <v>29</v>
      </c>
      <c r="C34" s="257">
        <v>1612.32</v>
      </c>
    </row>
    <row r="35" spans="2:6" x14ac:dyDescent="0.35">
      <c r="B35">
        <v>30</v>
      </c>
      <c r="C35" s="257">
        <v>1630.5900000000001</v>
      </c>
    </row>
    <row r="36" spans="2:6" x14ac:dyDescent="0.35">
      <c r="B36">
        <v>31</v>
      </c>
      <c r="C36" s="257">
        <v>1623.8645345557122</v>
      </c>
    </row>
    <row r="37" spans="2:6" x14ac:dyDescent="0.35">
      <c r="B37">
        <v>32</v>
      </c>
      <c r="C37" s="257">
        <v>1629.07</v>
      </c>
    </row>
    <row r="38" spans="2:6" x14ac:dyDescent="0.35">
      <c r="B38">
        <v>33</v>
      </c>
      <c r="C38" s="257">
        <v>1628.55</v>
      </c>
    </row>
    <row r="39" spans="2:6" x14ac:dyDescent="0.35">
      <c r="B39">
        <v>35</v>
      </c>
      <c r="C39" s="257">
        <v>1621.2677004212183</v>
      </c>
    </row>
    <row r="40" spans="2:6" x14ac:dyDescent="0.35">
      <c r="B40">
        <v>36</v>
      </c>
      <c r="C40" s="257">
        <v>1628.79</v>
      </c>
    </row>
    <row r="41" spans="2:6" x14ac:dyDescent="0.35">
      <c r="B41">
        <v>37</v>
      </c>
      <c r="C41" s="257">
        <v>1628.79</v>
      </c>
    </row>
    <row r="42" spans="2:6" x14ac:dyDescent="0.35">
      <c r="B42">
        <v>38</v>
      </c>
      <c r="C42" s="257">
        <v>1620.688594226225</v>
      </c>
    </row>
    <row r="43" spans="2:6" x14ac:dyDescent="0.35">
      <c r="B43">
        <v>39</v>
      </c>
      <c r="C43" s="257">
        <v>1630.3199999999997</v>
      </c>
    </row>
    <row r="44" spans="2:6" x14ac:dyDescent="0.35">
      <c r="B44">
        <v>50</v>
      </c>
      <c r="C44" s="257">
        <v>1629.2999999999997</v>
      </c>
    </row>
    <row r="45" spans="2:6" x14ac:dyDescent="0.35">
      <c r="B45">
        <v>51</v>
      </c>
      <c r="C45" s="257">
        <v>1629.9274499325163</v>
      </c>
    </row>
    <row r="46" spans="2:6" x14ac:dyDescent="0.35">
      <c r="B46">
        <v>52</v>
      </c>
      <c r="C46" s="257">
        <v>1629.25</v>
      </c>
    </row>
    <row r="47" spans="2:6" x14ac:dyDescent="0.35">
      <c r="B47">
        <v>53</v>
      </c>
      <c r="C47" s="257">
        <v>1625.8306570301963</v>
      </c>
    </row>
    <row r="48" spans="2:6" x14ac:dyDescent="0.35">
      <c r="B48">
        <v>55</v>
      </c>
      <c r="C48" s="257">
        <v>1556.52</v>
      </c>
    </row>
    <row r="49" spans="2:6" x14ac:dyDescent="0.35">
      <c r="B49" t="s">
        <v>31</v>
      </c>
      <c r="C49" s="257">
        <v>510.41999999999996</v>
      </c>
    </row>
    <row r="50" spans="2:6" x14ac:dyDescent="0.35">
      <c r="B50" t="s">
        <v>32</v>
      </c>
      <c r="C50" s="257">
        <v>380.22999999999996</v>
      </c>
    </row>
    <row r="51" spans="2:6" x14ac:dyDescent="0.35">
      <c r="B51" t="s">
        <v>175</v>
      </c>
      <c r="C51" s="257">
        <v>292.81</v>
      </c>
    </row>
    <row r="53" spans="2:6" x14ac:dyDescent="0.35">
      <c r="B53" t="s">
        <v>17</v>
      </c>
      <c r="C53">
        <v>61150.78271336099</v>
      </c>
      <c r="D53" s="257">
        <v>2482.4</v>
      </c>
      <c r="E53">
        <v>1166.06</v>
      </c>
      <c r="F53" s="257">
        <v>1001.0054895527545</v>
      </c>
    </row>
    <row r="55" spans="2:6" x14ac:dyDescent="0.35">
      <c r="B55" t="s">
        <v>221</v>
      </c>
      <c r="D55" t="s">
        <v>359</v>
      </c>
    </row>
    <row r="56" spans="2:6" x14ac:dyDescent="0.35">
      <c r="D56" t="s">
        <v>358</v>
      </c>
    </row>
    <row r="57" spans="2:6" x14ac:dyDescent="0.35">
      <c r="D57" t="s">
        <v>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ColWidth="8.8164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OCCUPANCY</vt:lpstr>
      <vt:lpstr>Legend</vt:lpstr>
      <vt:lpstr>OccRate Chart</vt:lpstr>
      <vt:lpstr>Prospectus</vt:lpstr>
      <vt:lpstr>Office Exp</vt:lpstr>
      <vt:lpstr>OUTLOOK 2021</vt:lpstr>
      <vt:lpstr>OUTLOOK 2022</vt:lpstr>
      <vt:lpstr>OUTLOOK 2023</vt:lpstr>
      <vt:lpstr>OUTLOOK 2022 (2)</vt:lpstr>
      <vt:lpstr>OUTLOOK 2023 (2)</vt:lpstr>
      <vt:lpstr>Storage B</vt:lpstr>
      <vt:lpstr>OUTLOOK 2022 (3)</vt:lpstr>
      <vt:lpstr>OUTLOOK 2023 (3)</vt:lpstr>
      <vt:lpstr>BOMA</vt:lpstr>
      <vt:lpstr>Leasable</vt:lpstr>
      <vt:lpstr>Sheet1</vt:lpstr>
      <vt:lpstr>Sheet2</vt:lpstr>
      <vt:lpstr>BOMA!Print_Area</vt:lpstr>
      <vt:lpstr>OCCUPANCY!Print_Area</vt:lpstr>
      <vt:lpstr>'OUTLOOK 2021'!Print_Area</vt:lpstr>
      <vt:lpstr>'OUTLOOK 2022'!Print_Area</vt:lpstr>
      <vt:lpstr>'OUTLOOK 2022 (2)'!Print_Area</vt:lpstr>
      <vt:lpstr>'OUTLOOK 2022 (3)'!Print_Area</vt:lpstr>
      <vt:lpstr>'OUTLOOK 2023'!Print_Area</vt:lpstr>
      <vt:lpstr>'OUTLOOK 2023 (2)'!Print_Area</vt:lpstr>
      <vt:lpstr>'OUTLOOK 2023 (3)'!Print_Area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 Muharam</dc:creator>
  <cp:lastModifiedBy>Samawi Samadikun</cp:lastModifiedBy>
  <cp:lastPrinted>2022-02-03T04:13:10Z</cp:lastPrinted>
  <dcterms:created xsi:type="dcterms:W3CDTF">2012-09-14T07:23:01Z</dcterms:created>
  <dcterms:modified xsi:type="dcterms:W3CDTF">2022-09-05T16:53:38Z</dcterms:modified>
</cp:coreProperties>
</file>